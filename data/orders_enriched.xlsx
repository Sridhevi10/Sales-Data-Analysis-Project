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d8e27410cefdaa/Documents/"/>
    </mc:Choice>
  </mc:AlternateContent>
  <xr:revisionPtr revIDLastSave="0" documentId="8_{C2FFB26E-EAC2-41D3-BEB8-262B21F774AE}" xr6:coauthVersionLast="47" xr6:coauthVersionMax="47" xr10:uidLastSave="{00000000-0000-0000-0000-000000000000}"/>
  <bookViews>
    <workbookView xWindow="-120" yWindow="-120" windowWidth="20730" windowHeight="11040" activeTab="3" xr2:uid="{BFFEE9D9-004C-4F37-9FB2-7F546204EA3B}"/>
  </bookViews>
  <sheets>
    <sheet name="orders" sheetId="1" r:id="rId1"/>
    <sheet name="products" sheetId="2" r:id="rId2"/>
    <sheet name="completed_orders" sheetId="3" r:id="rId3"/>
    <sheet name="two_pivot_table" sheetId="5" r:id="rId4"/>
  </sheets>
  <definedNames>
    <definedName name="_xlnm._FilterDatabase" localSheetId="2" hidden="1">completed_orders!$A$1:$M$64</definedName>
    <definedName name="_xlnm._FilterDatabase" localSheetId="0" hidden="1">orders!$A$1:$O$91</definedName>
  </definedNames>
  <calcPr calcId="0"/>
  <pivotCaches>
    <pivotCache cacheId="5" r:id="rId5"/>
  </pivotCaches>
</workbook>
</file>

<file path=xl/calcChain.xml><?xml version="1.0" encoding="utf-8"?>
<calcChain xmlns="http://schemas.openxmlformats.org/spreadsheetml/2006/main">
  <c r="P8" i="3" l="1"/>
  <c r="P7" i="3"/>
  <c r="P6" i="3"/>
  <c r="P5" i="3"/>
  <c r="P4" i="3"/>
  <c r="R1" i="1"/>
  <c r="N3" i="1"/>
  <c r="O3" i="1" s="1"/>
  <c r="N4" i="1"/>
  <c r="O4" i="1" s="1"/>
  <c r="N5" i="1"/>
  <c r="O5" i="1" s="1"/>
  <c r="N88" i="1"/>
  <c r="O88" i="1" s="1"/>
  <c r="N10" i="1"/>
  <c r="O10" i="1" s="1"/>
  <c r="N80" i="1"/>
  <c r="O80" i="1" s="1"/>
  <c r="N27" i="1"/>
  <c r="O27" i="1" s="1"/>
  <c r="N81" i="1"/>
  <c r="O81" i="1" s="1"/>
  <c r="N11" i="1"/>
  <c r="O11" i="1" s="1"/>
  <c r="N12" i="1"/>
  <c r="O12" i="1" s="1"/>
  <c r="N51" i="1"/>
  <c r="O51" i="1" s="1"/>
  <c r="N14" i="1"/>
  <c r="O14" i="1" s="1"/>
  <c r="N41" i="1"/>
  <c r="O41" i="1" s="1"/>
  <c r="N20" i="1"/>
  <c r="O20" i="1" s="1"/>
  <c r="N22" i="1"/>
  <c r="O22" i="1" s="1"/>
  <c r="N56" i="1"/>
  <c r="O56" i="1" s="1"/>
  <c r="N50" i="1"/>
  <c r="O50" i="1" s="1"/>
  <c r="N23" i="1"/>
  <c r="O23" i="1" s="1"/>
  <c r="N28" i="1"/>
  <c r="O28" i="1" s="1"/>
  <c r="N15" i="1"/>
  <c r="O15" i="1" s="1"/>
  <c r="N16" i="1"/>
  <c r="O16" i="1" s="1"/>
  <c r="N52" i="1"/>
  <c r="O52" i="1" s="1"/>
  <c r="N85" i="1"/>
  <c r="O85" i="1" s="1"/>
  <c r="N89" i="1"/>
  <c r="O89" i="1" s="1"/>
  <c r="N86" i="1"/>
  <c r="O86" i="1" s="1"/>
  <c r="N42" i="1"/>
  <c r="O42" i="1" s="1"/>
  <c r="N60" i="1"/>
  <c r="O60" i="1" s="1"/>
  <c r="N39" i="1"/>
  <c r="O39" i="1" s="1"/>
  <c r="N40" i="1"/>
  <c r="O40" i="1" s="1"/>
  <c r="N32" i="1"/>
  <c r="O32" i="1" s="1"/>
  <c r="N75" i="1"/>
  <c r="O75" i="1" s="1"/>
  <c r="N34" i="1"/>
  <c r="O34" i="1" s="1"/>
  <c r="N24" i="1"/>
  <c r="O24" i="1" s="1"/>
  <c r="N36" i="1"/>
  <c r="O36" i="1" s="1"/>
  <c r="N37" i="1"/>
  <c r="O37" i="1" s="1"/>
  <c r="N38" i="1"/>
  <c r="O38" i="1" s="1"/>
  <c r="N67" i="1"/>
  <c r="O67" i="1" s="1"/>
  <c r="N77" i="1"/>
  <c r="O77" i="1" s="1"/>
  <c r="N13" i="1"/>
  <c r="O13" i="1" s="1"/>
  <c r="N68" i="1"/>
  <c r="O68" i="1" s="1"/>
  <c r="N43" i="1"/>
  <c r="O43" i="1" s="1"/>
  <c r="N70" i="1"/>
  <c r="O70" i="1" s="1"/>
  <c r="N45" i="1"/>
  <c r="O45" i="1" s="1"/>
  <c r="N49" i="1"/>
  <c r="O49" i="1" s="1"/>
  <c r="N82" i="1"/>
  <c r="O82" i="1" s="1"/>
  <c r="N48" i="1"/>
  <c r="O48" i="1" s="1"/>
  <c r="N90" i="1"/>
  <c r="O90" i="1" s="1"/>
  <c r="N21" i="1"/>
  <c r="O21" i="1" s="1"/>
  <c r="N54" i="1"/>
  <c r="O54" i="1" s="1"/>
  <c r="N71" i="1"/>
  <c r="O71" i="1" s="1"/>
  <c r="N53" i="1"/>
  <c r="O53" i="1" s="1"/>
  <c r="N33" i="1"/>
  <c r="O33" i="1" s="1"/>
  <c r="N18" i="1"/>
  <c r="O18" i="1" s="1"/>
  <c r="N44" i="1"/>
  <c r="O44" i="1" s="1"/>
  <c r="N57" i="1"/>
  <c r="O57" i="1" s="1"/>
  <c r="N58" i="1"/>
  <c r="O58" i="1" s="1"/>
  <c r="N59" i="1"/>
  <c r="O59" i="1" s="1"/>
  <c r="N31" i="1"/>
  <c r="O31" i="1" s="1"/>
  <c r="N61" i="1"/>
  <c r="O61" i="1" s="1"/>
  <c r="N6" i="1"/>
  <c r="O6" i="1" s="1"/>
  <c r="N29" i="1"/>
  <c r="O29" i="1" s="1"/>
  <c r="N64" i="1"/>
  <c r="O64" i="1" s="1"/>
  <c r="N65" i="1"/>
  <c r="O65" i="1" s="1"/>
  <c r="N7" i="1"/>
  <c r="O7" i="1" s="1"/>
  <c r="N62" i="1"/>
  <c r="O62" i="1" s="1"/>
  <c r="N35" i="1"/>
  <c r="O35" i="1" s="1"/>
  <c r="N69" i="1"/>
  <c r="O69" i="1" s="1"/>
  <c r="N8" i="1"/>
  <c r="O8" i="1" s="1"/>
  <c r="N78" i="1"/>
  <c r="O78" i="1" s="1"/>
  <c r="N72" i="1"/>
  <c r="O72" i="1" s="1"/>
  <c r="N84" i="1"/>
  <c r="O84" i="1" s="1"/>
  <c r="N46" i="1"/>
  <c r="O46" i="1" s="1"/>
  <c r="N25" i="1"/>
  <c r="O25" i="1" s="1"/>
  <c r="N76" i="1"/>
  <c r="O76" i="1" s="1"/>
  <c r="N73" i="1"/>
  <c r="O73" i="1" s="1"/>
  <c r="N9" i="1"/>
  <c r="O9" i="1" s="1"/>
  <c r="N79" i="1"/>
  <c r="O79" i="1" s="1"/>
  <c r="N87" i="1"/>
  <c r="O87" i="1" s="1"/>
  <c r="N74" i="1"/>
  <c r="O74" i="1" s="1"/>
  <c r="N30" i="1"/>
  <c r="O30" i="1" s="1"/>
  <c r="N83" i="1"/>
  <c r="O83" i="1" s="1"/>
  <c r="N17" i="1"/>
  <c r="O17" i="1" s="1"/>
  <c r="N55" i="1"/>
  <c r="O55" i="1" s="1"/>
  <c r="N63" i="1"/>
  <c r="O63" i="1" s="1"/>
  <c r="N26" i="1"/>
  <c r="O26" i="1" s="1"/>
  <c r="N47" i="1"/>
  <c r="O47" i="1" s="1"/>
  <c r="N66" i="1"/>
  <c r="O66" i="1" s="1"/>
  <c r="N91" i="1"/>
  <c r="O91" i="1" s="1"/>
  <c r="N19" i="1"/>
  <c r="O19" i="1" s="1"/>
  <c r="N2" i="1"/>
  <c r="O2" i="1" s="1"/>
  <c r="M3" i="1"/>
  <c r="M4" i="1"/>
  <c r="M5" i="1"/>
  <c r="M88" i="1"/>
  <c r="M10" i="1"/>
  <c r="M80" i="1"/>
  <c r="M27" i="1"/>
  <c r="M81" i="1"/>
  <c r="M11" i="1"/>
  <c r="M12" i="1"/>
  <c r="M51" i="1"/>
  <c r="M14" i="1"/>
  <c r="M41" i="1"/>
  <c r="M20" i="1"/>
  <c r="M22" i="1"/>
  <c r="M56" i="1"/>
  <c r="M50" i="1"/>
  <c r="M23" i="1"/>
  <c r="M28" i="1"/>
  <c r="M15" i="1"/>
  <c r="M16" i="1"/>
  <c r="M52" i="1"/>
  <c r="M85" i="1"/>
  <c r="M89" i="1"/>
  <c r="M86" i="1"/>
  <c r="M42" i="1"/>
  <c r="M60" i="1"/>
  <c r="M39" i="1"/>
  <c r="M40" i="1"/>
  <c r="M32" i="1"/>
  <c r="M75" i="1"/>
  <c r="M34" i="1"/>
  <c r="M24" i="1"/>
  <c r="M36" i="1"/>
  <c r="M37" i="1"/>
  <c r="M38" i="1"/>
  <c r="M67" i="1"/>
  <c r="M77" i="1"/>
  <c r="M13" i="1"/>
  <c r="M68" i="1"/>
  <c r="M43" i="1"/>
  <c r="M70" i="1"/>
  <c r="M45" i="1"/>
  <c r="M49" i="1"/>
  <c r="M82" i="1"/>
  <c r="M48" i="1"/>
  <c r="M90" i="1"/>
  <c r="M21" i="1"/>
  <c r="M54" i="1"/>
  <c r="M71" i="1"/>
  <c r="M53" i="1"/>
  <c r="M33" i="1"/>
  <c r="M18" i="1"/>
  <c r="M44" i="1"/>
  <c r="M57" i="1"/>
  <c r="M58" i="1"/>
  <c r="M59" i="1"/>
  <c r="M31" i="1"/>
  <c r="M61" i="1"/>
  <c r="M6" i="1"/>
  <c r="M29" i="1"/>
  <c r="M64" i="1"/>
  <c r="M65" i="1"/>
  <c r="M7" i="1"/>
  <c r="M62" i="1"/>
  <c r="M35" i="1"/>
  <c r="M69" i="1"/>
  <c r="M8" i="1"/>
  <c r="M78" i="1"/>
  <c r="M72" i="1"/>
  <c r="M84" i="1"/>
  <c r="M46" i="1"/>
  <c r="M25" i="1"/>
  <c r="M76" i="1"/>
  <c r="M73" i="1"/>
  <c r="M9" i="1"/>
  <c r="M79" i="1"/>
  <c r="M87" i="1"/>
  <c r="M74" i="1"/>
  <c r="M30" i="1"/>
  <c r="M83" i="1"/>
  <c r="M17" i="1"/>
  <c r="M55" i="1"/>
  <c r="M63" i="1"/>
  <c r="M26" i="1"/>
  <c r="M47" i="1"/>
  <c r="M66" i="1"/>
  <c r="M91" i="1"/>
  <c r="M19" i="1"/>
  <c r="M2" i="1"/>
  <c r="K3" i="1"/>
  <c r="L3" i="1"/>
  <c r="K4" i="1"/>
  <c r="L4" i="1"/>
  <c r="K5" i="1"/>
  <c r="L5" i="1"/>
  <c r="K88" i="1"/>
  <c r="L88" i="1"/>
  <c r="K10" i="1"/>
  <c r="L10" i="1"/>
  <c r="K80" i="1"/>
  <c r="L80" i="1"/>
  <c r="K27" i="1"/>
  <c r="L27" i="1"/>
  <c r="K81" i="1"/>
  <c r="L81" i="1"/>
  <c r="K11" i="1"/>
  <c r="L11" i="1"/>
  <c r="K12" i="1"/>
  <c r="L12" i="1"/>
  <c r="K51" i="1"/>
  <c r="L51" i="1"/>
  <c r="K14" i="1"/>
  <c r="L14" i="1"/>
  <c r="K41" i="1"/>
  <c r="L41" i="1"/>
  <c r="K20" i="1"/>
  <c r="L20" i="1"/>
  <c r="K22" i="1"/>
  <c r="L22" i="1"/>
  <c r="K56" i="1"/>
  <c r="L56" i="1"/>
  <c r="K50" i="1"/>
  <c r="L50" i="1"/>
  <c r="K23" i="1"/>
  <c r="L23" i="1"/>
  <c r="K28" i="1"/>
  <c r="L28" i="1"/>
  <c r="K15" i="1"/>
  <c r="L15" i="1"/>
  <c r="K16" i="1"/>
  <c r="L16" i="1"/>
  <c r="K52" i="1"/>
  <c r="L52" i="1"/>
  <c r="K85" i="1"/>
  <c r="L85" i="1"/>
  <c r="K89" i="1"/>
  <c r="L89" i="1"/>
  <c r="K86" i="1"/>
  <c r="L86" i="1"/>
  <c r="K42" i="1"/>
  <c r="L42" i="1"/>
  <c r="K60" i="1"/>
  <c r="L60" i="1"/>
  <c r="K39" i="1"/>
  <c r="L39" i="1"/>
  <c r="K40" i="1"/>
  <c r="L40" i="1"/>
  <c r="K32" i="1"/>
  <c r="L32" i="1"/>
  <c r="K75" i="1"/>
  <c r="L75" i="1"/>
  <c r="K34" i="1"/>
  <c r="L34" i="1"/>
  <c r="K24" i="1"/>
  <c r="L24" i="1"/>
  <c r="K36" i="1"/>
  <c r="L36" i="1"/>
  <c r="K37" i="1"/>
  <c r="L37" i="1"/>
  <c r="K38" i="1"/>
  <c r="L38" i="1"/>
  <c r="K67" i="1"/>
  <c r="L67" i="1"/>
  <c r="K77" i="1"/>
  <c r="L77" i="1"/>
  <c r="K13" i="1"/>
  <c r="L13" i="1"/>
  <c r="K68" i="1"/>
  <c r="L68" i="1"/>
  <c r="K43" i="1"/>
  <c r="L43" i="1"/>
  <c r="K70" i="1"/>
  <c r="L70" i="1"/>
  <c r="K45" i="1"/>
  <c r="L45" i="1"/>
  <c r="K49" i="1"/>
  <c r="L49" i="1"/>
  <c r="K82" i="1"/>
  <c r="L82" i="1"/>
  <c r="K48" i="1"/>
  <c r="L48" i="1"/>
  <c r="K90" i="1"/>
  <c r="L90" i="1"/>
  <c r="K21" i="1"/>
  <c r="L21" i="1"/>
  <c r="K54" i="1"/>
  <c r="L54" i="1"/>
  <c r="K71" i="1"/>
  <c r="L71" i="1"/>
  <c r="K53" i="1"/>
  <c r="L53" i="1"/>
  <c r="K33" i="1"/>
  <c r="L33" i="1"/>
  <c r="K18" i="1"/>
  <c r="L18" i="1"/>
  <c r="K44" i="1"/>
  <c r="L44" i="1"/>
  <c r="K57" i="1"/>
  <c r="L57" i="1"/>
  <c r="K58" i="1"/>
  <c r="L58" i="1"/>
  <c r="K59" i="1"/>
  <c r="L59" i="1"/>
  <c r="K31" i="1"/>
  <c r="L31" i="1"/>
  <c r="K61" i="1"/>
  <c r="L61" i="1"/>
  <c r="K6" i="1"/>
  <c r="L6" i="1"/>
  <c r="K29" i="1"/>
  <c r="L29" i="1"/>
  <c r="K64" i="1"/>
  <c r="L64" i="1"/>
  <c r="K65" i="1"/>
  <c r="L65" i="1"/>
  <c r="K7" i="1"/>
  <c r="L7" i="1"/>
  <c r="K62" i="1"/>
  <c r="L62" i="1"/>
  <c r="K35" i="1"/>
  <c r="L35" i="1"/>
  <c r="K69" i="1"/>
  <c r="L69" i="1"/>
  <c r="K8" i="1"/>
  <c r="L8" i="1"/>
  <c r="K78" i="1"/>
  <c r="L78" i="1"/>
  <c r="K72" i="1"/>
  <c r="L72" i="1"/>
  <c r="K84" i="1"/>
  <c r="L84" i="1"/>
  <c r="K46" i="1"/>
  <c r="L46" i="1"/>
  <c r="K25" i="1"/>
  <c r="L25" i="1"/>
  <c r="K76" i="1"/>
  <c r="L76" i="1"/>
  <c r="K73" i="1"/>
  <c r="L73" i="1"/>
  <c r="K9" i="1"/>
  <c r="L9" i="1"/>
  <c r="K79" i="1"/>
  <c r="L79" i="1"/>
  <c r="K87" i="1"/>
  <c r="L87" i="1"/>
  <c r="K74" i="1"/>
  <c r="L74" i="1"/>
  <c r="K30" i="1"/>
  <c r="L30" i="1"/>
  <c r="K83" i="1"/>
  <c r="L83" i="1"/>
  <c r="K17" i="1"/>
  <c r="L17" i="1"/>
  <c r="K55" i="1"/>
  <c r="L55" i="1"/>
  <c r="K63" i="1"/>
  <c r="L63" i="1"/>
  <c r="K26" i="1"/>
  <c r="L26" i="1"/>
  <c r="K47" i="1"/>
  <c r="L47" i="1"/>
  <c r="K66" i="1"/>
  <c r="L66" i="1"/>
  <c r="K91" i="1"/>
  <c r="L91" i="1"/>
  <c r="K19" i="1"/>
  <c r="L19" i="1"/>
  <c r="L2" i="1"/>
  <c r="K2" i="1"/>
</calcChain>
</file>

<file path=xl/sharedStrings.xml><?xml version="1.0" encoding="utf-8"?>
<sst xmlns="http://schemas.openxmlformats.org/spreadsheetml/2006/main" count="1210" uniqueCount="106">
  <si>
    <t>order_id</t>
  </si>
  <si>
    <t>order_month</t>
  </si>
  <si>
    <t>first_name</t>
  </si>
  <si>
    <t>last_name</t>
  </si>
  <si>
    <t>region</t>
  </si>
  <si>
    <t>rep_name</t>
  </si>
  <si>
    <t>item</t>
  </si>
  <si>
    <t>quantity</t>
  </si>
  <si>
    <t>amount</t>
  </si>
  <si>
    <t>status</t>
  </si>
  <si>
    <t>2026-09</t>
  </si>
  <si>
    <t>MEERA</t>
  </si>
  <si>
    <t xml:space="preserve">  Patil</t>
  </si>
  <si>
    <t>South</t>
  </si>
  <si>
    <t>Kavya Nair</t>
  </si>
  <si>
    <t>Bluetooth Speaker</t>
  </si>
  <si>
    <t>NULL</t>
  </si>
  <si>
    <t>pending</t>
  </si>
  <si>
    <t>Nisha</t>
  </si>
  <si>
    <t>Mishra</t>
  </si>
  <si>
    <t>West</t>
  </si>
  <si>
    <t>Neha Kulkarni</t>
  </si>
  <si>
    <t>Smart Watch</t>
  </si>
  <si>
    <t>Lakshmi</t>
  </si>
  <si>
    <t>Kapoor</t>
  </si>
  <si>
    <t>Air Fryer</t>
  </si>
  <si>
    <t>disputed</t>
  </si>
  <si>
    <t>Gaurav</t>
  </si>
  <si>
    <t>Yadav</t>
  </si>
  <si>
    <t>East</t>
  </si>
  <si>
    <t>Sanjay Roy</t>
  </si>
  <si>
    <t>Cotton Kurta</t>
  </si>
  <si>
    <t>Tanvi</t>
  </si>
  <si>
    <t>Thakur</t>
  </si>
  <si>
    <t>Table Lamp</t>
  </si>
  <si>
    <t>completed</t>
  </si>
  <si>
    <t xml:space="preserve">  Vikram</t>
  </si>
  <si>
    <t xml:space="preserve">Singh </t>
  </si>
  <si>
    <t>North</t>
  </si>
  <si>
    <t>Arjun Mehta</t>
  </si>
  <si>
    <t>Bedsheet Set</t>
  </si>
  <si>
    <t>Sneha</t>
  </si>
  <si>
    <t>Das</t>
  </si>
  <si>
    <t>Wireless Earbuds</t>
  </si>
  <si>
    <t>RAHUL</t>
  </si>
  <si>
    <t>VERMA</t>
  </si>
  <si>
    <t xml:space="preserve">  Isha</t>
  </si>
  <si>
    <t>Pillai</t>
  </si>
  <si>
    <t>Running Shoes</t>
  </si>
  <si>
    <t>Harsh</t>
  </si>
  <si>
    <t>Chopra</t>
  </si>
  <si>
    <t xml:space="preserve">Aditya </t>
  </si>
  <si>
    <t>Rao</t>
  </si>
  <si>
    <t>Pooja</t>
  </si>
  <si>
    <t>Menon</t>
  </si>
  <si>
    <t>Denim Jacket</t>
  </si>
  <si>
    <t>Manoj</t>
  </si>
  <si>
    <t>Desai</t>
  </si>
  <si>
    <t>Priya</t>
  </si>
  <si>
    <t>iyer</t>
  </si>
  <si>
    <t>Divya</t>
  </si>
  <si>
    <t>Gupta</t>
  </si>
  <si>
    <t>2026-10</t>
  </si>
  <si>
    <t>aarav</t>
  </si>
  <si>
    <t>Sharma</t>
  </si>
  <si>
    <t>Swati</t>
  </si>
  <si>
    <t>Banerjee</t>
  </si>
  <si>
    <t xml:space="preserve">karthik </t>
  </si>
  <si>
    <t>nair</t>
  </si>
  <si>
    <t>Rohit</t>
  </si>
  <si>
    <t>Khan</t>
  </si>
  <si>
    <t>2026-11</t>
  </si>
  <si>
    <t>suresh</t>
  </si>
  <si>
    <t>BOSE</t>
  </si>
  <si>
    <t>category</t>
  </si>
  <si>
    <t>unit_price</t>
  </si>
  <si>
    <t>Home</t>
  </si>
  <si>
    <t>Electronics</t>
  </si>
  <si>
    <t>Apparel</t>
  </si>
  <si>
    <t xml:space="preserve">clean_first_name </t>
  </si>
  <si>
    <t>clean_last_name</t>
  </si>
  <si>
    <t>revenue_calc</t>
  </si>
  <si>
    <t>Aditya</t>
  </si>
  <si>
    <t>Rahul</t>
  </si>
  <si>
    <t>Verma</t>
  </si>
  <si>
    <t>Vikram</t>
  </si>
  <si>
    <t>Singh</t>
  </si>
  <si>
    <t>Aarav</t>
  </si>
  <si>
    <t>Karthik</t>
  </si>
  <si>
    <t>Nair</t>
  </si>
  <si>
    <t>Isha</t>
  </si>
  <si>
    <t>Iyer</t>
  </si>
  <si>
    <t>Suresh</t>
  </si>
  <si>
    <t>Bose</t>
  </si>
  <si>
    <t>Meera</t>
  </si>
  <si>
    <t>Patil</t>
  </si>
  <si>
    <t>COUNT</t>
  </si>
  <si>
    <t>SUM</t>
  </si>
  <si>
    <t>AVERAGE</t>
  </si>
  <si>
    <t>MIN</t>
  </si>
  <si>
    <t>MAX</t>
  </si>
  <si>
    <t>Row Labels</t>
  </si>
  <si>
    <t>Grand Total</t>
  </si>
  <si>
    <t>Column Labels</t>
  </si>
  <si>
    <t>Sum of amount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</si>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</sst>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vin S" refreshedDate="46318.002239814814" createdVersion="8" refreshedVersion="8" minRefreshableVersion="3" recordCount="63" xr:uid="{941B5CE3-803B-47F5-BDDE-0D5A69D4A7F4}">
  <cacheSource type="worksheet">
    <worksheetSource ref="A1:M64" sheet="completed_orders"/>
  </cacheSource>
  <cacheFields count="13">
    <cacheField name="order_id" numFmtId="0">
      <sharedItems containsSemiMixedTypes="0" containsString="0" containsNumber="1" containsInteger="1" minValue="1005" maxValue="1090"/>
    </cacheField>
    <cacheField name="order_month" numFmtId="0">
      <sharedItems count="3">
        <s v="2026-11"/>
        <s v="2026-09"/>
        <s v="2026-10"/>
      </sharedItems>
    </cacheField>
    <cacheField name="clean_first_name " numFmtId="0">
      <sharedItems/>
    </cacheField>
    <cacheField name="clean_last_name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rep_name" numFmtId="0">
      <sharedItems/>
    </cacheField>
    <cacheField name="item" numFmtId="0">
      <sharedItems/>
    </cacheField>
    <cacheField name="category" numFmtId="0">
      <sharedItems count="3">
        <s v="Home"/>
        <s v="Electronics"/>
        <s v="Apparel"/>
      </sharedItems>
    </cacheField>
    <cacheField name="unit_price" numFmtId="0">
      <sharedItems containsSemiMixedTypes="0" containsString="0" containsNumber="1" containsInteger="1" minValue="1100" maxValue="5200"/>
    </cacheField>
    <cacheField name="quantity" numFmtId="0">
      <sharedItems containsSemiMixedTypes="0" containsString="0" containsNumber="1" containsInteger="1" minValue="1" maxValue="3"/>
    </cacheField>
    <cacheField name="amount" numFmtId="0">
      <sharedItems containsSemiMixedTypes="0" containsString="0" containsNumber="1" containsInteger="1" minValue="1100" maxValue="15600"/>
    </cacheField>
    <cacheField name="revenue_calc" numFmtId="0">
      <sharedItems containsSemiMixedTypes="0" containsString="0" containsNumber="1" containsInteger="1" minValue="1100" maxValue="156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061"/>
    <x v="0"/>
    <s v="Nisha"/>
    <s v="Mishra"/>
    <x v="0"/>
    <s v="Neha Kulkarni"/>
    <s v="Air Fryer"/>
    <x v="0"/>
    <n v="5200"/>
    <n v="3"/>
    <n v="15600"/>
    <n v="15600"/>
    <s v="completed"/>
  </r>
  <r>
    <n v="1065"/>
    <x v="0"/>
    <s v="Tanvi"/>
    <s v="Thakur"/>
    <x v="1"/>
    <s v="Kavya Nair"/>
    <s v="Air Fryer"/>
    <x v="0"/>
    <n v="5200"/>
    <n v="3"/>
    <n v="15600"/>
    <n v="15600"/>
    <s v="completed"/>
  </r>
  <r>
    <n v="1069"/>
    <x v="0"/>
    <s v="Aditya"/>
    <s v="Rao"/>
    <x v="2"/>
    <s v="Sanjay Roy"/>
    <s v="Air Fryer"/>
    <x v="0"/>
    <n v="5200"/>
    <n v="3"/>
    <n v="15600"/>
    <n v="15600"/>
    <s v="completed"/>
  </r>
  <r>
    <n v="1077"/>
    <x v="0"/>
    <s v="Rahul"/>
    <s v="Verma"/>
    <x v="2"/>
    <s v="Sanjay Roy"/>
    <s v="Air Fryer"/>
    <x v="0"/>
    <n v="5200"/>
    <n v="3"/>
    <n v="15600"/>
    <n v="15600"/>
    <s v="completed"/>
  </r>
  <r>
    <n v="1006"/>
    <x v="1"/>
    <s v="Vikram"/>
    <s v="Singh"/>
    <x v="3"/>
    <s v="Arjun Mehta"/>
    <s v="Smart Watch"/>
    <x v="1"/>
    <n v="4500"/>
    <n v="3"/>
    <n v="13500"/>
    <n v="13500"/>
    <s v="completed"/>
  </r>
  <r>
    <n v="1040"/>
    <x v="2"/>
    <s v="Aarav"/>
    <s v="Sharma"/>
    <x v="3"/>
    <s v="Arjun Mehta"/>
    <s v="Smart Watch"/>
    <x v="1"/>
    <n v="4500"/>
    <n v="3"/>
    <n v="13500"/>
    <n v="13500"/>
    <s v="completed"/>
  </r>
  <r>
    <n v="1021"/>
    <x v="1"/>
    <s v="Manoj"/>
    <s v="Desai"/>
    <x v="3"/>
    <s v="Arjun Mehta"/>
    <s v="Air Fryer"/>
    <x v="0"/>
    <n v="5200"/>
    <n v="2"/>
    <n v="10400"/>
    <n v="10400"/>
    <s v="completed"/>
  </r>
  <r>
    <n v="1022"/>
    <x v="1"/>
    <s v="Vikram"/>
    <s v="Singh"/>
    <x v="3"/>
    <s v="Arjun Mehta"/>
    <s v="Air Fryer"/>
    <x v="0"/>
    <n v="5200"/>
    <n v="2"/>
    <n v="10400"/>
    <n v="10400"/>
    <s v="completed"/>
  </r>
  <r>
    <n v="1083"/>
    <x v="0"/>
    <s v="Lakshmi"/>
    <s v="Kapoor"/>
    <x v="1"/>
    <s v="Kavya Nair"/>
    <s v="Air Fryer"/>
    <x v="0"/>
    <n v="5200"/>
    <n v="2"/>
    <n v="10400"/>
    <n v="10400"/>
    <s v="completed"/>
  </r>
  <r>
    <n v="1054"/>
    <x v="2"/>
    <s v="Manoj"/>
    <s v="Desai"/>
    <x v="3"/>
    <s v="Arjun Mehta"/>
    <s v="Wireless Earbuds"/>
    <x v="1"/>
    <n v="3200"/>
    <n v="3"/>
    <n v="9600"/>
    <n v="9600"/>
    <s v="completed"/>
  </r>
  <r>
    <n v="1090"/>
    <x v="0"/>
    <s v="Karthik"/>
    <s v="Nair"/>
    <x v="2"/>
    <s v="Sanjay Roy"/>
    <s v="Wireless Earbuds"/>
    <x v="1"/>
    <n v="3200"/>
    <n v="3"/>
    <n v="9600"/>
    <n v="9600"/>
    <s v="completed"/>
  </r>
  <r>
    <n v="1015"/>
    <x v="1"/>
    <s v="Lakshmi"/>
    <s v="Kapoor"/>
    <x v="1"/>
    <s v="Kavya Nair"/>
    <s v="Smart Watch"/>
    <x v="1"/>
    <n v="4500"/>
    <n v="2"/>
    <n v="9000"/>
    <n v="9000"/>
    <s v="completed"/>
  </r>
  <r>
    <n v="1049"/>
    <x v="2"/>
    <s v="Aarav"/>
    <s v="Sharma"/>
    <x v="3"/>
    <s v="Arjun Mehta"/>
    <s v="Smart Watch"/>
    <x v="1"/>
    <n v="4500"/>
    <n v="2"/>
    <n v="9000"/>
    <n v="9000"/>
    <s v="completed"/>
  </r>
  <r>
    <n v="1016"/>
    <x v="1"/>
    <s v="Pooja"/>
    <s v="Menon"/>
    <x v="0"/>
    <s v="Neha Kulkarni"/>
    <s v="Denim Jacket"/>
    <x v="2"/>
    <n v="2500"/>
    <n v="3"/>
    <n v="7500"/>
    <n v="7500"/>
    <s v="completed"/>
  </r>
  <r>
    <n v="1019"/>
    <x v="1"/>
    <s v="Vikram"/>
    <s v="Singh"/>
    <x v="3"/>
    <s v="Arjun Mehta"/>
    <s v="Running Shoes"/>
    <x v="2"/>
    <n v="3600"/>
    <n v="2"/>
    <n v="7200"/>
    <n v="7200"/>
    <s v="completed"/>
  </r>
  <r>
    <n v="1034"/>
    <x v="2"/>
    <s v="Divya"/>
    <s v="Gupta"/>
    <x v="0"/>
    <s v="Neha Kulkarni"/>
    <s v="Running Shoes"/>
    <x v="2"/>
    <n v="3600"/>
    <n v="2"/>
    <n v="7200"/>
    <n v="7200"/>
    <s v="completed"/>
  </r>
  <r>
    <n v="1074"/>
    <x v="0"/>
    <s v="Nisha"/>
    <s v="Mishra"/>
    <x v="0"/>
    <s v="Neha Kulkarni"/>
    <s v="Running Shoes"/>
    <x v="2"/>
    <n v="3600"/>
    <n v="2"/>
    <n v="7200"/>
    <n v="7200"/>
    <s v="completed"/>
  </r>
  <r>
    <n v="1086"/>
    <x v="0"/>
    <s v="Manoj"/>
    <s v="Desai"/>
    <x v="3"/>
    <s v="Arjun Mehta"/>
    <s v="Running Shoes"/>
    <x v="2"/>
    <n v="3600"/>
    <n v="2"/>
    <n v="7200"/>
    <n v="7200"/>
    <s v="completed"/>
  </r>
  <r>
    <n v="1008"/>
    <x v="1"/>
    <s v="Sneha"/>
    <s v="Das"/>
    <x v="0"/>
    <s v="Neha Kulkarni"/>
    <s v="Wireless Earbuds"/>
    <x v="1"/>
    <n v="3200"/>
    <n v="2"/>
    <n v="6400"/>
    <n v="6400"/>
    <s v="completed"/>
  </r>
  <r>
    <n v="1020"/>
    <x v="1"/>
    <s v="Tanvi"/>
    <s v="Thakur"/>
    <x v="1"/>
    <s v="Kavya Nair"/>
    <s v="Wireless Earbuds"/>
    <x v="1"/>
    <n v="3200"/>
    <n v="2"/>
    <n v="6400"/>
    <n v="6400"/>
    <s v="completed"/>
  </r>
  <r>
    <n v="1062"/>
    <x v="0"/>
    <s v="Isha"/>
    <s v="Pillai"/>
    <x v="0"/>
    <s v="Neha Kulkarni"/>
    <s v="Wireless Earbuds"/>
    <x v="1"/>
    <n v="3200"/>
    <n v="2"/>
    <n v="6400"/>
    <n v="6400"/>
    <s v="completed"/>
  </r>
  <r>
    <n v="1081"/>
    <x v="0"/>
    <s v="Vikram"/>
    <s v="Singh"/>
    <x v="3"/>
    <s v="Arjun Mehta"/>
    <s v="Wireless Earbuds"/>
    <x v="1"/>
    <n v="3200"/>
    <n v="2"/>
    <n v="6400"/>
    <n v="6400"/>
    <s v="completed"/>
  </r>
  <r>
    <n v="1059"/>
    <x v="0"/>
    <s v="Priya"/>
    <s v="Iyer"/>
    <x v="1"/>
    <s v="Kavya Nair"/>
    <s v="Bluetooth Speaker"/>
    <x v="1"/>
    <n v="2800"/>
    <n v="2"/>
    <n v="5600"/>
    <n v="5600"/>
    <s v="completed"/>
  </r>
  <r>
    <n v="1053"/>
    <x v="2"/>
    <s v="Tanvi"/>
    <s v="Thakur"/>
    <x v="1"/>
    <s v="Kavya Nair"/>
    <s v="Air Fryer"/>
    <x v="0"/>
    <n v="5200"/>
    <n v="1"/>
    <n v="5200"/>
    <n v="5200"/>
    <s v="completed"/>
  </r>
  <r>
    <n v="1067"/>
    <x v="0"/>
    <s v="Priya"/>
    <s v="Iyer"/>
    <x v="1"/>
    <s v="Kavya Nair"/>
    <s v="Air Fryer"/>
    <x v="0"/>
    <n v="5200"/>
    <n v="1"/>
    <n v="5200"/>
    <n v="5200"/>
    <s v="completed"/>
  </r>
  <r>
    <n v="1029"/>
    <x v="2"/>
    <s v="Aditya"/>
    <s v="Rao"/>
    <x v="2"/>
    <s v="Sanjay Roy"/>
    <s v="Denim Jacket"/>
    <x v="2"/>
    <n v="2500"/>
    <n v="2"/>
    <n v="5000"/>
    <n v="5000"/>
    <s v="completed"/>
  </r>
  <r>
    <n v="1030"/>
    <x v="2"/>
    <s v="Lakshmi"/>
    <s v="Kapoor"/>
    <x v="1"/>
    <s v="Kavya Nair"/>
    <s v="Denim Jacket"/>
    <x v="2"/>
    <n v="2500"/>
    <n v="2"/>
    <n v="5000"/>
    <n v="5000"/>
    <s v="completed"/>
  </r>
  <r>
    <n v="1014"/>
    <x v="1"/>
    <s v="Aditya"/>
    <s v="Rao"/>
    <x v="2"/>
    <s v="Sanjay Roy"/>
    <s v="Smart Watch"/>
    <x v="1"/>
    <n v="4500"/>
    <n v="1"/>
    <n v="4500"/>
    <n v="4500"/>
    <s v="completed"/>
  </r>
  <r>
    <n v="1027"/>
    <x v="2"/>
    <s v="Aarav"/>
    <s v="Sharma"/>
    <x v="3"/>
    <s v="Arjun Mehta"/>
    <s v="Smart Watch"/>
    <x v="1"/>
    <n v="4500"/>
    <n v="1"/>
    <n v="4500"/>
    <n v="4500"/>
    <s v="completed"/>
  </r>
  <r>
    <n v="1055"/>
    <x v="2"/>
    <s v="Swati"/>
    <s v="Banerjee"/>
    <x v="1"/>
    <s v="Kavya Nair"/>
    <s v="Smart Watch"/>
    <x v="1"/>
    <n v="4500"/>
    <n v="1"/>
    <n v="4500"/>
    <n v="4500"/>
    <s v="completed"/>
  </r>
  <r>
    <n v="1073"/>
    <x v="0"/>
    <s v="Harsh"/>
    <s v="Chopra"/>
    <x v="2"/>
    <s v="Sanjay Roy"/>
    <s v="Smart Watch"/>
    <x v="1"/>
    <n v="4500"/>
    <n v="1"/>
    <n v="4500"/>
    <n v="4500"/>
    <s v="completed"/>
  </r>
  <r>
    <n v="1087"/>
    <x v="0"/>
    <s v="Manoj"/>
    <s v="Desai"/>
    <x v="3"/>
    <s v="Arjun Mehta"/>
    <s v="Smart Watch"/>
    <x v="1"/>
    <n v="4500"/>
    <n v="1"/>
    <n v="4500"/>
    <n v="4500"/>
    <s v="completed"/>
  </r>
  <r>
    <n v="1045"/>
    <x v="2"/>
    <s v="Nisha"/>
    <s v="Mishra"/>
    <x v="0"/>
    <s v="Neha Kulkarni"/>
    <s v="Cotton Kurta"/>
    <x v="2"/>
    <n v="1400"/>
    <n v="3"/>
    <n v="4200"/>
    <n v="4200"/>
    <s v="completed"/>
  </r>
  <r>
    <n v="1018"/>
    <x v="1"/>
    <s v="Manoj"/>
    <s v="Desai"/>
    <x v="3"/>
    <s v="Arjun Mehta"/>
    <s v="Bedsheet Set"/>
    <x v="0"/>
    <n v="1900"/>
    <n v="2"/>
    <n v="3800"/>
    <n v="3800"/>
    <s v="completed"/>
  </r>
  <r>
    <n v="1012"/>
    <x v="1"/>
    <s v="Sneha"/>
    <s v="Das"/>
    <x v="0"/>
    <s v="Neha Kulkarni"/>
    <s v="Running Shoes"/>
    <x v="2"/>
    <n v="3600"/>
    <n v="1"/>
    <n v="3600"/>
    <n v="3600"/>
    <s v="completed"/>
  </r>
  <r>
    <n v="1023"/>
    <x v="1"/>
    <s v="Manoj"/>
    <s v="Desai"/>
    <x v="3"/>
    <s v="Arjun Mehta"/>
    <s v="Running Shoes"/>
    <x v="2"/>
    <n v="3600"/>
    <n v="1"/>
    <n v="3600"/>
    <n v="3600"/>
    <s v="completed"/>
  </r>
  <r>
    <n v="1050"/>
    <x v="2"/>
    <s v="Pooja"/>
    <s v="Menon"/>
    <x v="0"/>
    <s v="Neha Kulkarni"/>
    <s v="Running Shoes"/>
    <x v="2"/>
    <n v="3600"/>
    <n v="1"/>
    <n v="3600"/>
    <n v="3600"/>
    <s v="completed"/>
  </r>
  <r>
    <n v="1084"/>
    <x v="0"/>
    <s v="Lakshmi"/>
    <s v="Kapoor"/>
    <x v="1"/>
    <s v="Kavya Nair"/>
    <s v="Running Shoes"/>
    <x v="2"/>
    <n v="3600"/>
    <n v="1"/>
    <n v="3600"/>
    <n v="3600"/>
    <s v="completed"/>
  </r>
  <r>
    <n v="1017"/>
    <x v="1"/>
    <s v="Vikram"/>
    <s v="Singh"/>
    <x v="3"/>
    <s v="Arjun Mehta"/>
    <s v="Wireless Earbuds"/>
    <x v="1"/>
    <n v="3200"/>
    <n v="1"/>
    <n v="3200"/>
    <n v="3200"/>
    <s v="completed"/>
  </r>
  <r>
    <n v="1028"/>
    <x v="2"/>
    <s v="Swati"/>
    <s v="Banerjee"/>
    <x v="1"/>
    <s v="Kavya Nair"/>
    <s v="Wireless Earbuds"/>
    <x v="1"/>
    <n v="3200"/>
    <n v="1"/>
    <n v="3200"/>
    <n v="3200"/>
    <s v="completed"/>
  </r>
  <r>
    <n v="1066"/>
    <x v="0"/>
    <s v="Suresh"/>
    <s v="Bose"/>
    <x v="3"/>
    <s v="Arjun Mehta"/>
    <s v="Wireless Earbuds"/>
    <x v="1"/>
    <n v="3200"/>
    <n v="1"/>
    <n v="3200"/>
    <n v="3200"/>
    <s v="completed"/>
  </r>
  <r>
    <n v="1085"/>
    <x v="0"/>
    <s v="Aarav"/>
    <s v="Sharma"/>
    <x v="3"/>
    <s v="Arjun Mehta"/>
    <s v="Wireless Earbuds"/>
    <x v="1"/>
    <n v="3200"/>
    <n v="1"/>
    <n v="3200"/>
    <n v="3200"/>
    <s v="completed"/>
  </r>
  <r>
    <n v="1088"/>
    <x v="0"/>
    <s v="Sneha"/>
    <s v="Das"/>
    <x v="0"/>
    <s v="Neha Kulkarni"/>
    <s v="Wireless Earbuds"/>
    <x v="1"/>
    <n v="3200"/>
    <n v="1"/>
    <n v="3200"/>
    <n v="3200"/>
    <s v="completed"/>
  </r>
  <r>
    <n v="1038"/>
    <x v="2"/>
    <s v="Rahul"/>
    <s v="Verma"/>
    <x v="2"/>
    <s v="Sanjay Roy"/>
    <s v="Cotton Kurta"/>
    <x v="2"/>
    <n v="1400"/>
    <n v="2"/>
    <n v="2800"/>
    <n v="2800"/>
    <s v="completed"/>
  </r>
  <r>
    <n v="1041"/>
    <x v="2"/>
    <s v="Divya"/>
    <s v="Gupta"/>
    <x v="0"/>
    <s v="Neha Kulkarni"/>
    <s v="Bluetooth Speaker"/>
    <x v="1"/>
    <n v="2800"/>
    <n v="1"/>
    <n v="2800"/>
    <n v="2800"/>
    <s v="completed"/>
  </r>
  <r>
    <n v="1043"/>
    <x v="2"/>
    <s v="Rohit"/>
    <s v="Khan"/>
    <x v="3"/>
    <s v="Arjun Mehta"/>
    <s v="Bluetooth Speaker"/>
    <x v="1"/>
    <n v="2800"/>
    <n v="1"/>
    <n v="2800"/>
    <n v="2800"/>
    <s v="completed"/>
  </r>
  <r>
    <n v="1051"/>
    <x v="2"/>
    <s v="Sneha"/>
    <s v="Das"/>
    <x v="0"/>
    <s v="Neha Kulkarni"/>
    <s v="Cotton Kurta"/>
    <x v="2"/>
    <n v="1400"/>
    <n v="2"/>
    <n v="2800"/>
    <n v="2800"/>
    <s v="completed"/>
  </r>
  <r>
    <n v="1076"/>
    <x v="0"/>
    <s v="Gaurav"/>
    <s v="Yadav"/>
    <x v="2"/>
    <s v="Sanjay Roy"/>
    <s v="Cotton Kurta"/>
    <x v="2"/>
    <n v="1400"/>
    <n v="2"/>
    <n v="2800"/>
    <n v="2800"/>
    <s v="completed"/>
  </r>
  <r>
    <n v="1080"/>
    <x v="0"/>
    <s v="Harsh"/>
    <s v="Chopra"/>
    <x v="2"/>
    <s v="Sanjay Roy"/>
    <s v="Bluetooth Speaker"/>
    <x v="1"/>
    <n v="2800"/>
    <n v="1"/>
    <n v="2800"/>
    <n v="2800"/>
    <s v="completed"/>
  </r>
  <r>
    <n v="1032"/>
    <x v="2"/>
    <s v="Karthik"/>
    <s v="Nair"/>
    <x v="2"/>
    <s v="Sanjay Roy"/>
    <s v="Table Lamp"/>
    <x v="0"/>
    <n v="1100"/>
    <n v="2"/>
    <n v="2200"/>
    <n v="2200"/>
    <s v="completed"/>
  </r>
  <r>
    <n v="1039"/>
    <x v="2"/>
    <s v="Rahul"/>
    <s v="Verma"/>
    <x v="2"/>
    <s v="Sanjay Roy"/>
    <s v="Table Lamp"/>
    <x v="0"/>
    <n v="1100"/>
    <n v="2"/>
    <n v="2200"/>
    <n v="2200"/>
    <s v="completed"/>
  </r>
  <r>
    <n v="1070"/>
    <x v="0"/>
    <s v="Meera"/>
    <s v="Patil"/>
    <x v="1"/>
    <s v="Kavya Nair"/>
    <s v="Table Lamp"/>
    <x v="0"/>
    <n v="1100"/>
    <n v="2"/>
    <n v="2200"/>
    <n v="2200"/>
    <s v="completed"/>
  </r>
  <r>
    <n v="1007"/>
    <x v="1"/>
    <s v="Tanvi"/>
    <s v="Thakur"/>
    <x v="1"/>
    <s v="Kavya Nair"/>
    <s v="Bedsheet Set"/>
    <x v="0"/>
    <n v="1900"/>
    <n v="1"/>
    <n v="1900"/>
    <n v="1900"/>
    <s v="completed"/>
  </r>
  <r>
    <n v="1009"/>
    <x v="1"/>
    <s v="Rahul"/>
    <s v="Verma"/>
    <x v="2"/>
    <s v="Sanjay Roy"/>
    <s v="Bedsheet Set"/>
    <x v="0"/>
    <n v="1900"/>
    <n v="1"/>
    <n v="1900"/>
    <n v="1900"/>
    <s v="completed"/>
  </r>
  <r>
    <n v="1046"/>
    <x v="2"/>
    <s v="Vikram"/>
    <s v="Singh"/>
    <x v="3"/>
    <s v="Arjun Mehta"/>
    <s v="Bedsheet Set"/>
    <x v="0"/>
    <n v="1900"/>
    <n v="1"/>
    <n v="1900"/>
    <n v="1900"/>
    <s v="completed"/>
  </r>
  <r>
    <n v="1072"/>
    <x v="0"/>
    <s v="Isha"/>
    <s v="Pillai"/>
    <x v="0"/>
    <s v="Neha Kulkarni"/>
    <s v="Bedsheet Set"/>
    <x v="0"/>
    <n v="1900"/>
    <n v="1"/>
    <n v="1900"/>
    <n v="1900"/>
    <s v="completed"/>
  </r>
  <r>
    <n v="1024"/>
    <x v="1"/>
    <s v="Priya"/>
    <s v="Iyer"/>
    <x v="1"/>
    <s v="Kavya Nair"/>
    <s v="Cotton Kurta"/>
    <x v="2"/>
    <n v="1400"/>
    <n v="1"/>
    <n v="1400"/>
    <n v="1400"/>
    <s v="completed"/>
  </r>
  <r>
    <n v="1026"/>
    <x v="1"/>
    <s v="Vikram"/>
    <s v="Singh"/>
    <x v="3"/>
    <s v="Arjun Mehta"/>
    <s v="Cotton Kurta"/>
    <x v="2"/>
    <n v="1400"/>
    <n v="1"/>
    <n v="1400"/>
    <n v="1400"/>
    <s v="completed"/>
  </r>
  <r>
    <n v="1079"/>
    <x v="0"/>
    <s v="Sneha"/>
    <s v="Das"/>
    <x v="0"/>
    <s v="Neha Kulkarni"/>
    <s v="Cotton Kurta"/>
    <x v="2"/>
    <n v="1400"/>
    <n v="1"/>
    <n v="1400"/>
    <n v="1400"/>
    <s v="completed"/>
  </r>
  <r>
    <n v="1005"/>
    <x v="1"/>
    <s v="Tanvi"/>
    <s v="Thakur"/>
    <x v="1"/>
    <s v="Kavya Nair"/>
    <s v="Table Lamp"/>
    <x v="0"/>
    <n v="1100"/>
    <n v="1"/>
    <n v="1100"/>
    <n v="1100"/>
    <s v="completed"/>
  </r>
  <r>
    <n v="1025"/>
    <x v="1"/>
    <s v="Divya"/>
    <s v="Gupta"/>
    <x v="0"/>
    <s v="Neha Kulkarni"/>
    <s v="Table Lamp"/>
    <x v="0"/>
    <n v="1100"/>
    <n v="1"/>
    <n v="1100"/>
    <n v="1100"/>
    <s v="completed"/>
  </r>
  <r>
    <n v="1048"/>
    <x v="2"/>
    <s v="Priya"/>
    <s v="Iyer"/>
    <x v="1"/>
    <s v="Kavya Nair"/>
    <s v="Table Lamp"/>
    <x v="0"/>
    <n v="1100"/>
    <n v="1"/>
    <n v="1100"/>
    <n v="1100"/>
    <s v="completed"/>
  </r>
  <r>
    <n v="1089"/>
    <x v="0"/>
    <s v="Meera"/>
    <s v="Patil"/>
    <x v="1"/>
    <s v="Kavya Nair"/>
    <s v="Table Lamp"/>
    <x v="0"/>
    <n v="1100"/>
    <n v="1"/>
    <n v="1100"/>
    <n v="1100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F1239-8CB2-4ECA-A555-D04082CD13F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C15" firstHeaderRow="0" firstDataRow="1" firstDataCol="1"/>
  <pivotFields count="13"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0" baseField="0" baseItem="0"/>
    <dataField name="Count of order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B79F3-FF9C-4DFD-93C1-C79FD215F84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13">
    <pivotField showAll="0"/>
    <pivotField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544B-3029-49BD-8625-4316FE4209E6}">
  <sheetPr filterMode="1"/>
  <dimension ref="A1:R91"/>
  <sheetViews>
    <sheetView workbookViewId="0">
      <selection activeCell="P21" sqref="P21"/>
    </sheetView>
  </sheetViews>
  <sheetFormatPr defaultRowHeight="15" x14ac:dyDescent="0.25"/>
  <cols>
    <col min="14" max="14" width="9.570312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79</v>
      </c>
      <c r="L1" s="1" t="s">
        <v>80</v>
      </c>
      <c r="M1" s="1" t="s">
        <v>74</v>
      </c>
      <c r="N1" s="1" t="s">
        <v>75</v>
      </c>
      <c r="O1" s="1" t="s">
        <v>81</v>
      </c>
      <c r="R1" s="1" t="str">
        <f>_xlfn.XLOOKUP("Mystery Item",products!$A$2:$A$10,products!$C$2:$C$10,"UNKNOWN_ITEM")</f>
        <v>UNKNOWN_ITEM</v>
      </c>
    </row>
    <row r="2" spans="1:18" hidden="1" x14ac:dyDescent="0.25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 t="s">
        <v>16</v>
      </c>
      <c r="J2" t="s">
        <v>17</v>
      </c>
      <c r="K2" t="str">
        <f>PROPER(TRIM(C2))</f>
        <v>Meera</v>
      </c>
      <c r="L2" t="str">
        <f>PROPER(TRIM(D2))</f>
        <v>Patil</v>
      </c>
      <c r="M2" t="str">
        <f>VLOOKUP(G:G,products!A:B,2,FALSE)</f>
        <v>Electronics</v>
      </c>
      <c r="N2">
        <f>_xlfn.XLOOKUP(G2,products!$A$2:$A$10,products!$C$2:$C$10,"UNKNOWN_ITEM")</f>
        <v>2800</v>
      </c>
      <c r="O2">
        <f>N2*H2</f>
        <v>5600</v>
      </c>
    </row>
    <row r="3" spans="1:18" hidden="1" x14ac:dyDescent="0.25">
      <c r="A3">
        <v>1002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>
        <v>4500</v>
      </c>
      <c r="J3" t="s">
        <v>17</v>
      </c>
      <c r="K3" t="str">
        <f t="shared" ref="K3:K66" si="0">PROPER(TRIM(C3))</f>
        <v>Nisha</v>
      </c>
      <c r="L3" t="str">
        <f t="shared" ref="L3:L66" si="1">PROPER(TRIM(D3))</f>
        <v>Mishra</v>
      </c>
      <c r="M3" t="str">
        <f>VLOOKUP(G:G,products!A:B,2,FALSE)</f>
        <v>Electronics</v>
      </c>
      <c r="N3">
        <f>_xlfn.XLOOKUP(G3,products!$A$2:$A$10,products!$C$2:$C$10,"UNKNOWN_ITEM")</f>
        <v>4500</v>
      </c>
      <c r="O3">
        <f t="shared" ref="O3:O66" si="2">N3*H3</f>
        <v>4500</v>
      </c>
    </row>
    <row r="4" spans="1:18" hidden="1" x14ac:dyDescent="0.25">
      <c r="A4">
        <v>1003</v>
      </c>
      <c r="B4" t="s">
        <v>10</v>
      </c>
      <c r="C4" t="s">
        <v>23</v>
      </c>
      <c r="D4" t="s">
        <v>24</v>
      </c>
      <c r="E4" t="s">
        <v>13</v>
      </c>
      <c r="F4" t="s">
        <v>14</v>
      </c>
      <c r="G4" t="s">
        <v>25</v>
      </c>
      <c r="H4">
        <v>2</v>
      </c>
      <c r="I4">
        <v>10400</v>
      </c>
      <c r="J4" t="s">
        <v>26</v>
      </c>
      <c r="K4" t="str">
        <f t="shared" si="0"/>
        <v>Lakshmi</v>
      </c>
      <c r="L4" t="str">
        <f t="shared" si="1"/>
        <v>Kapoor</v>
      </c>
      <c r="M4" t="str">
        <f>VLOOKUP(G:G,products!A:B,2,FALSE)</f>
        <v>Home</v>
      </c>
      <c r="N4">
        <f>_xlfn.XLOOKUP(G4,products!$A$2:$A$10,products!$C$2:$C$10,"UNKNOWN_ITEM")</f>
        <v>5200</v>
      </c>
      <c r="O4">
        <f t="shared" si="2"/>
        <v>10400</v>
      </c>
    </row>
    <row r="5" spans="1:18" hidden="1" x14ac:dyDescent="0.25">
      <c r="A5">
        <v>1004</v>
      </c>
      <c r="B5" t="s">
        <v>10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2</v>
      </c>
      <c r="I5">
        <v>2800</v>
      </c>
      <c r="J5" t="s">
        <v>17</v>
      </c>
      <c r="K5" t="str">
        <f t="shared" si="0"/>
        <v>Gaurav</v>
      </c>
      <c r="L5" t="str">
        <f t="shared" si="1"/>
        <v>Yadav</v>
      </c>
      <c r="M5" t="str">
        <f>VLOOKUP(G:G,products!A:B,2,FALSE)</f>
        <v>Apparel</v>
      </c>
      <c r="N5">
        <f>_xlfn.XLOOKUP(G5,products!$A$2:$A$10,products!$C$2:$C$10,"UNKNOWN_ITEM")</f>
        <v>1400</v>
      </c>
      <c r="O5">
        <f t="shared" si="2"/>
        <v>2800</v>
      </c>
    </row>
    <row r="6" spans="1:18" x14ac:dyDescent="0.25">
      <c r="A6">
        <v>1061</v>
      </c>
      <c r="B6" t="s">
        <v>71</v>
      </c>
      <c r="C6" t="s">
        <v>18</v>
      </c>
      <c r="D6" t="s">
        <v>19</v>
      </c>
      <c r="E6" t="s">
        <v>20</v>
      </c>
      <c r="F6" t="s">
        <v>21</v>
      </c>
      <c r="G6" t="s">
        <v>25</v>
      </c>
      <c r="H6">
        <v>3</v>
      </c>
      <c r="I6">
        <v>15600</v>
      </c>
      <c r="J6" t="s">
        <v>35</v>
      </c>
      <c r="K6" t="str">
        <f>PROPER(TRIM(C6))</f>
        <v>Nisha</v>
      </c>
      <c r="L6" t="str">
        <f>PROPER(TRIM(D6))</f>
        <v>Mishra</v>
      </c>
      <c r="M6" t="str">
        <f>VLOOKUP(G:G,products!A:B,2,FALSE)</f>
        <v>Home</v>
      </c>
      <c r="N6">
        <f>_xlfn.XLOOKUP(G6,products!$A$2:$A$10,products!$C$2:$C$10,"UNKNOWN_ITEM")</f>
        <v>5200</v>
      </c>
      <c r="O6">
        <f>N6*H6</f>
        <v>15600</v>
      </c>
    </row>
    <row r="7" spans="1:18" x14ac:dyDescent="0.25">
      <c r="A7">
        <v>1065</v>
      </c>
      <c r="B7" t="s">
        <v>71</v>
      </c>
      <c r="C7" t="s">
        <v>32</v>
      </c>
      <c r="D7" t="s">
        <v>33</v>
      </c>
      <c r="E7" t="s">
        <v>13</v>
      </c>
      <c r="F7" t="s">
        <v>14</v>
      </c>
      <c r="G7" t="s">
        <v>25</v>
      </c>
      <c r="H7">
        <v>3</v>
      </c>
      <c r="I7">
        <v>15600</v>
      </c>
      <c r="J7" t="s">
        <v>35</v>
      </c>
      <c r="K7" t="str">
        <f>PROPER(TRIM(C7))</f>
        <v>Tanvi</v>
      </c>
      <c r="L7" t="str">
        <f>PROPER(TRIM(D7))</f>
        <v>Thakur</v>
      </c>
      <c r="M7" t="str">
        <f>VLOOKUP(G:G,products!A:B,2,FALSE)</f>
        <v>Home</v>
      </c>
      <c r="N7">
        <f>_xlfn.XLOOKUP(G7,products!$A$2:$A$10,products!$C$2:$C$10,"UNKNOWN_ITEM")</f>
        <v>5200</v>
      </c>
      <c r="O7">
        <f>N7*H7</f>
        <v>15600</v>
      </c>
    </row>
    <row r="8" spans="1:18" x14ac:dyDescent="0.25">
      <c r="A8">
        <v>1069</v>
      </c>
      <c r="B8" t="s">
        <v>71</v>
      </c>
      <c r="C8" t="s">
        <v>51</v>
      </c>
      <c r="D8" t="s">
        <v>52</v>
      </c>
      <c r="E8" t="s">
        <v>29</v>
      </c>
      <c r="F8" t="s">
        <v>30</v>
      </c>
      <c r="G8" t="s">
        <v>25</v>
      </c>
      <c r="H8">
        <v>3</v>
      </c>
      <c r="I8">
        <v>15600</v>
      </c>
      <c r="J8" t="s">
        <v>35</v>
      </c>
      <c r="K8" t="str">
        <f>PROPER(TRIM(C8))</f>
        <v>Aditya</v>
      </c>
      <c r="L8" t="str">
        <f>PROPER(TRIM(D8))</f>
        <v>Rao</v>
      </c>
      <c r="M8" t="str">
        <f>VLOOKUP(G:G,products!A:B,2,FALSE)</f>
        <v>Home</v>
      </c>
      <c r="N8">
        <f>_xlfn.XLOOKUP(G8,products!$A$2:$A$10,products!$C$2:$C$10,"UNKNOWN_ITEM")</f>
        <v>5200</v>
      </c>
      <c r="O8">
        <f>N8*H8</f>
        <v>15600</v>
      </c>
    </row>
    <row r="9" spans="1:18" x14ac:dyDescent="0.25">
      <c r="A9">
        <v>1077</v>
      </c>
      <c r="B9" t="s">
        <v>71</v>
      </c>
      <c r="C9" t="s">
        <v>44</v>
      </c>
      <c r="D9" t="s">
        <v>45</v>
      </c>
      <c r="E9" t="s">
        <v>29</v>
      </c>
      <c r="F9" t="s">
        <v>30</v>
      </c>
      <c r="G9" t="s">
        <v>25</v>
      </c>
      <c r="H9">
        <v>3</v>
      </c>
      <c r="I9">
        <v>15600</v>
      </c>
      <c r="J9" t="s">
        <v>35</v>
      </c>
      <c r="K9" t="str">
        <f>PROPER(TRIM(C9))</f>
        <v>Rahul</v>
      </c>
      <c r="L9" t="str">
        <f>PROPER(TRIM(D9))</f>
        <v>Verma</v>
      </c>
      <c r="M9" t="str">
        <f>VLOOKUP(G:G,products!A:B,2,FALSE)</f>
        <v>Home</v>
      </c>
      <c r="N9">
        <f>_xlfn.XLOOKUP(G9,products!$A$2:$A$10,products!$C$2:$C$10,"UNKNOWN_ITEM")</f>
        <v>5200</v>
      </c>
      <c r="O9">
        <f>N9*H9</f>
        <v>15600</v>
      </c>
    </row>
    <row r="10" spans="1:18" x14ac:dyDescent="0.25">
      <c r="A10">
        <v>1006</v>
      </c>
      <c r="B10" t="s">
        <v>10</v>
      </c>
      <c r="C10" t="s">
        <v>36</v>
      </c>
      <c r="D10" t="s">
        <v>37</v>
      </c>
      <c r="E10" t="s">
        <v>38</v>
      </c>
      <c r="F10" t="s">
        <v>39</v>
      </c>
      <c r="G10" t="s">
        <v>22</v>
      </c>
      <c r="H10">
        <v>3</v>
      </c>
      <c r="I10">
        <v>13500</v>
      </c>
      <c r="J10" t="s">
        <v>35</v>
      </c>
      <c r="K10" t="str">
        <f>PROPER(TRIM(C10))</f>
        <v>Vikram</v>
      </c>
      <c r="L10" t="str">
        <f>PROPER(TRIM(D10))</f>
        <v>Singh</v>
      </c>
      <c r="M10" t="str">
        <f>VLOOKUP(G:G,products!A:B,2,FALSE)</f>
        <v>Electronics</v>
      </c>
      <c r="N10">
        <f>_xlfn.XLOOKUP(G10,products!$A$2:$A$10,products!$C$2:$C$10,"UNKNOWN_ITEM")</f>
        <v>4500</v>
      </c>
      <c r="O10">
        <f>N10*H10</f>
        <v>13500</v>
      </c>
    </row>
    <row r="11" spans="1:18" hidden="1" x14ac:dyDescent="0.25">
      <c r="A11">
        <v>1010</v>
      </c>
      <c r="B11" t="s">
        <v>10</v>
      </c>
      <c r="C11" t="s">
        <v>27</v>
      </c>
      <c r="D11" t="s">
        <v>28</v>
      </c>
      <c r="E11" t="s">
        <v>29</v>
      </c>
      <c r="F11" t="s">
        <v>30</v>
      </c>
      <c r="G11" t="s">
        <v>43</v>
      </c>
      <c r="H11">
        <v>1</v>
      </c>
      <c r="I11" t="s">
        <v>16</v>
      </c>
      <c r="J11" t="s">
        <v>17</v>
      </c>
      <c r="K11" t="str">
        <f>PROPER(TRIM(C11))</f>
        <v>Gaurav</v>
      </c>
      <c r="L11" t="str">
        <f>PROPER(TRIM(D11))</f>
        <v>Yadav</v>
      </c>
      <c r="M11" t="str">
        <f>VLOOKUP(G:G,products!A:B,2,FALSE)</f>
        <v>Electronics</v>
      </c>
      <c r="N11">
        <f>_xlfn.XLOOKUP(G11,products!$A$2:$A$10,products!$C$2:$C$10,"UNKNOWN_ITEM")</f>
        <v>3200</v>
      </c>
      <c r="O11">
        <f>N11*H11</f>
        <v>3200</v>
      </c>
    </row>
    <row r="12" spans="1:18" hidden="1" x14ac:dyDescent="0.25">
      <c r="A12">
        <v>1011</v>
      </c>
      <c r="B12" t="s">
        <v>10</v>
      </c>
      <c r="C12" t="s">
        <v>46</v>
      </c>
      <c r="D12" t="s">
        <v>47</v>
      </c>
      <c r="E12" t="s">
        <v>20</v>
      </c>
      <c r="F12" t="s">
        <v>21</v>
      </c>
      <c r="G12" t="s">
        <v>25</v>
      </c>
      <c r="H12">
        <v>3</v>
      </c>
      <c r="I12">
        <v>15600</v>
      </c>
      <c r="J12" t="s">
        <v>26</v>
      </c>
      <c r="K12" t="str">
        <f>PROPER(TRIM(C12))</f>
        <v>Isha</v>
      </c>
      <c r="L12" t="str">
        <f>PROPER(TRIM(D12))</f>
        <v>Pillai</v>
      </c>
      <c r="M12" t="str">
        <f>VLOOKUP(G:G,products!A:B,2,FALSE)</f>
        <v>Home</v>
      </c>
      <c r="N12">
        <f>_xlfn.XLOOKUP(G12,products!$A$2:$A$10,products!$C$2:$C$10,"UNKNOWN_ITEM")</f>
        <v>5200</v>
      </c>
      <c r="O12">
        <f>N12*H12</f>
        <v>15600</v>
      </c>
    </row>
    <row r="13" spans="1:18" x14ac:dyDescent="0.25">
      <c r="A13">
        <v>1040</v>
      </c>
      <c r="B13" t="s">
        <v>62</v>
      </c>
      <c r="C13" t="s">
        <v>63</v>
      </c>
      <c r="D13" t="s">
        <v>64</v>
      </c>
      <c r="E13" t="s">
        <v>38</v>
      </c>
      <c r="F13" t="s">
        <v>39</v>
      </c>
      <c r="G13" t="s">
        <v>22</v>
      </c>
      <c r="H13">
        <v>3</v>
      </c>
      <c r="I13">
        <v>13500</v>
      </c>
      <c r="J13" t="s">
        <v>35</v>
      </c>
      <c r="K13" t="str">
        <f>PROPER(TRIM(C13))</f>
        <v>Aarav</v>
      </c>
      <c r="L13" t="str">
        <f>PROPER(TRIM(D13))</f>
        <v>Sharma</v>
      </c>
      <c r="M13" t="str">
        <f>VLOOKUP(G:G,products!A:B,2,FALSE)</f>
        <v>Electronics</v>
      </c>
      <c r="N13">
        <f>_xlfn.XLOOKUP(G13,products!$A$2:$A$10,products!$C$2:$C$10,"UNKNOWN_ITEM")</f>
        <v>4500</v>
      </c>
      <c r="O13">
        <f>N13*H13</f>
        <v>13500</v>
      </c>
    </row>
    <row r="14" spans="1:18" hidden="1" x14ac:dyDescent="0.25">
      <c r="A14">
        <v>1013</v>
      </c>
      <c r="B14" t="s">
        <v>10</v>
      </c>
      <c r="C14" t="s">
        <v>49</v>
      </c>
      <c r="D14" t="s">
        <v>50</v>
      </c>
      <c r="E14" t="s">
        <v>29</v>
      </c>
      <c r="F14" t="s">
        <v>30</v>
      </c>
      <c r="G14" t="s">
        <v>22</v>
      </c>
      <c r="H14">
        <v>2</v>
      </c>
      <c r="I14">
        <v>9000</v>
      </c>
      <c r="J14" t="s">
        <v>26</v>
      </c>
      <c r="K14" t="str">
        <f>PROPER(TRIM(C14))</f>
        <v>Harsh</v>
      </c>
      <c r="L14" t="str">
        <f>PROPER(TRIM(D14))</f>
        <v>Chopra</v>
      </c>
      <c r="M14" t="str">
        <f>VLOOKUP(G:G,products!A:B,2,FALSE)</f>
        <v>Electronics</v>
      </c>
      <c r="N14">
        <f>_xlfn.XLOOKUP(G14,products!$A$2:$A$10,products!$C$2:$C$10,"UNKNOWN_ITEM")</f>
        <v>4500</v>
      </c>
      <c r="O14">
        <f>N14*H14</f>
        <v>9000</v>
      </c>
    </row>
    <row r="15" spans="1:18" x14ac:dyDescent="0.25">
      <c r="A15">
        <v>1021</v>
      </c>
      <c r="B15" t="s">
        <v>10</v>
      </c>
      <c r="C15" t="s">
        <v>56</v>
      </c>
      <c r="D15" t="s">
        <v>57</v>
      </c>
      <c r="E15" t="s">
        <v>38</v>
      </c>
      <c r="F15" t="s">
        <v>39</v>
      </c>
      <c r="G15" t="s">
        <v>25</v>
      </c>
      <c r="H15">
        <v>2</v>
      </c>
      <c r="I15">
        <v>10400</v>
      </c>
      <c r="J15" t="s">
        <v>35</v>
      </c>
      <c r="K15" t="str">
        <f>PROPER(TRIM(C15))</f>
        <v>Manoj</v>
      </c>
      <c r="L15" t="str">
        <f>PROPER(TRIM(D15))</f>
        <v>Desai</v>
      </c>
      <c r="M15" t="str">
        <f>VLOOKUP(G:G,products!A:B,2,FALSE)</f>
        <v>Home</v>
      </c>
      <c r="N15">
        <f>_xlfn.XLOOKUP(G15,products!$A$2:$A$10,products!$C$2:$C$10,"UNKNOWN_ITEM")</f>
        <v>5200</v>
      </c>
      <c r="O15">
        <f>N15*H15</f>
        <v>10400</v>
      </c>
    </row>
    <row r="16" spans="1:18" x14ac:dyDescent="0.25">
      <c r="A16">
        <v>1022</v>
      </c>
      <c r="B16" t="s">
        <v>10</v>
      </c>
      <c r="C16" t="s">
        <v>36</v>
      </c>
      <c r="D16" t="s">
        <v>37</v>
      </c>
      <c r="E16" t="s">
        <v>38</v>
      </c>
      <c r="F16" t="s">
        <v>39</v>
      </c>
      <c r="G16" t="s">
        <v>25</v>
      </c>
      <c r="H16">
        <v>2</v>
      </c>
      <c r="I16">
        <v>10400</v>
      </c>
      <c r="J16" t="s">
        <v>35</v>
      </c>
      <c r="K16" t="str">
        <f>PROPER(TRIM(C16))</f>
        <v>Vikram</v>
      </c>
      <c r="L16" t="str">
        <f>PROPER(TRIM(D16))</f>
        <v>Singh</v>
      </c>
      <c r="M16" t="str">
        <f>VLOOKUP(G:G,products!A:B,2,FALSE)</f>
        <v>Home</v>
      </c>
      <c r="N16">
        <f>_xlfn.XLOOKUP(G16,products!$A$2:$A$10,products!$C$2:$C$10,"UNKNOWN_ITEM")</f>
        <v>5200</v>
      </c>
      <c r="O16">
        <f>N16*H16</f>
        <v>10400</v>
      </c>
    </row>
    <row r="17" spans="1:15" x14ac:dyDescent="0.25">
      <c r="A17">
        <v>1083</v>
      </c>
      <c r="B17" t="s">
        <v>71</v>
      </c>
      <c r="C17" t="s">
        <v>23</v>
      </c>
      <c r="D17" t="s">
        <v>24</v>
      </c>
      <c r="E17" t="s">
        <v>13</v>
      </c>
      <c r="F17" t="s">
        <v>14</v>
      </c>
      <c r="G17" t="s">
        <v>25</v>
      </c>
      <c r="H17">
        <v>2</v>
      </c>
      <c r="I17">
        <v>10400</v>
      </c>
      <c r="J17" t="s">
        <v>35</v>
      </c>
      <c r="K17" t="str">
        <f>PROPER(TRIM(C17))</f>
        <v>Lakshmi</v>
      </c>
      <c r="L17" t="str">
        <f>PROPER(TRIM(D17))</f>
        <v>Kapoor</v>
      </c>
      <c r="M17" t="str">
        <f>VLOOKUP(G:G,products!A:B,2,FALSE)</f>
        <v>Home</v>
      </c>
      <c r="N17">
        <f>_xlfn.XLOOKUP(G17,products!$A$2:$A$10,products!$C$2:$C$10,"UNKNOWN_ITEM")</f>
        <v>5200</v>
      </c>
      <c r="O17">
        <f>N17*H17</f>
        <v>10400</v>
      </c>
    </row>
    <row r="18" spans="1:15" x14ac:dyDescent="0.25">
      <c r="A18">
        <v>1054</v>
      </c>
      <c r="B18" t="s">
        <v>62</v>
      </c>
      <c r="C18" t="s">
        <v>56</v>
      </c>
      <c r="D18" t="s">
        <v>57</v>
      </c>
      <c r="E18" t="s">
        <v>38</v>
      </c>
      <c r="F18" t="s">
        <v>39</v>
      </c>
      <c r="G18" t="s">
        <v>43</v>
      </c>
      <c r="H18">
        <v>3</v>
      </c>
      <c r="I18">
        <v>9600</v>
      </c>
      <c r="J18" t="s">
        <v>35</v>
      </c>
      <c r="K18" t="str">
        <f>PROPER(TRIM(C18))</f>
        <v>Manoj</v>
      </c>
      <c r="L18" t="str">
        <f>PROPER(TRIM(D18))</f>
        <v>Desai</v>
      </c>
      <c r="M18" t="str">
        <f>VLOOKUP(G:G,products!A:B,2,FALSE)</f>
        <v>Electronics</v>
      </c>
      <c r="N18">
        <f>_xlfn.XLOOKUP(G18,products!$A$2:$A$10,products!$C$2:$C$10,"UNKNOWN_ITEM")</f>
        <v>3200</v>
      </c>
      <c r="O18">
        <f>N18*H18</f>
        <v>9600</v>
      </c>
    </row>
    <row r="19" spans="1:15" x14ac:dyDescent="0.25">
      <c r="A19">
        <v>1090</v>
      </c>
      <c r="B19" t="s">
        <v>71</v>
      </c>
      <c r="C19" t="s">
        <v>67</v>
      </c>
      <c r="D19" t="s">
        <v>68</v>
      </c>
      <c r="E19" t="s">
        <v>29</v>
      </c>
      <c r="F19" t="s">
        <v>30</v>
      </c>
      <c r="G19" t="s">
        <v>43</v>
      </c>
      <c r="H19">
        <v>3</v>
      </c>
      <c r="I19">
        <v>9600</v>
      </c>
      <c r="J19" t="s">
        <v>35</v>
      </c>
      <c r="K19" t="str">
        <f>PROPER(TRIM(C19))</f>
        <v>Karthik</v>
      </c>
      <c r="L19" t="str">
        <f>PROPER(TRIM(D19))</f>
        <v>Nair</v>
      </c>
      <c r="M19" t="str">
        <f>VLOOKUP(G:G,products!A:B,2,FALSE)</f>
        <v>Electronics</v>
      </c>
      <c r="N19">
        <f>_xlfn.XLOOKUP(G19,products!$A$2:$A$10,products!$C$2:$C$10,"UNKNOWN_ITEM")</f>
        <v>3200</v>
      </c>
      <c r="O19">
        <f>N19*H19</f>
        <v>9600</v>
      </c>
    </row>
    <row r="20" spans="1:15" x14ac:dyDescent="0.25">
      <c r="A20">
        <v>1015</v>
      </c>
      <c r="B20" t="s">
        <v>10</v>
      </c>
      <c r="C20" t="s">
        <v>23</v>
      </c>
      <c r="D20" t="s">
        <v>24</v>
      </c>
      <c r="E20" t="s">
        <v>13</v>
      </c>
      <c r="F20" t="s">
        <v>14</v>
      </c>
      <c r="G20" t="s">
        <v>22</v>
      </c>
      <c r="H20">
        <v>2</v>
      </c>
      <c r="I20">
        <v>9000</v>
      </c>
      <c r="J20" t="s">
        <v>35</v>
      </c>
      <c r="K20" t="str">
        <f>PROPER(TRIM(C20))</f>
        <v>Lakshmi</v>
      </c>
      <c r="L20" t="str">
        <f>PROPER(TRIM(D20))</f>
        <v>Kapoor</v>
      </c>
      <c r="M20" t="str">
        <f>VLOOKUP(G:G,products!A:B,2,FALSE)</f>
        <v>Electronics</v>
      </c>
      <c r="N20">
        <f>_xlfn.XLOOKUP(G20,products!$A$2:$A$10,products!$C$2:$C$10,"UNKNOWN_ITEM")</f>
        <v>4500</v>
      </c>
      <c r="O20">
        <f>N20*H20</f>
        <v>9000</v>
      </c>
    </row>
    <row r="21" spans="1:15" x14ac:dyDescent="0.25">
      <c r="A21">
        <v>1049</v>
      </c>
      <c r="B21" t="s">
        <v>62</v>
      </c>
      <c r="C21" t="s">
        <v>63</v>
      </c>
      <c r="D21" t="s">
        <v>64</v>
      </c>
      <c r="E21" t="s">
        <v>38</v>
      </c>
      <c r="F21" t="s">
        <v>39</v>
      </c>
      <c r="G21" t="s">
        <v>22</v>
      </c>
      <c r="H21">
        <v>2</v>
      </c>
      <c r="I21">
        <v>9000</v>
      </c>
      <c r="J21" t="s">
        <v>35</v>
      </c>
      <c r="K21" t="str">
        <f>PROPER(TRIM(C21))</f>
        <v>Aarav</v>
      </c>
      <c r="L21" t="str">
        <f>PROPER(TRIM(D21))</f>
        <v>Sharma</v>
      </c>
      <c r="M21" t="str">
        <f>VLOOKUP(G:G,products!A:B,2,FALSE)</f>
        <v>Electronics</v>
      </c>
      <c r="N21">
        <f>_xlfn.XLOOKUP(G21,products!$A$2:$A$10,products!$C$2:$C$10,"UNKNOWN_ITEM")</f>
        <v>4500</v>
      </c>
      <c r="O21">
        <f>N21*H21</f>
        <v>9000</v>
      </c>
    </row>
    <row r="22" spans="1:15" x14ac:dyDescent="0.25">
      <c r="A22">
        <v>1016</v>
      </c>
      <c r="B22" t="s">
        <v>10</v>
      </c>
      <c r="C22" t="s">
        <v>53</v>
      </c>
      <c r="D22" t="s">
        <v>54</v>
      </c>
      <c r="E22" t="s">
        <v>20</v>
      </c>
      <c r="F22" t="s">
        <v>21</v>
      </c>
      <c r="G22" t="s">
        <v>55</v>
      </c>
      <c r="H22">
        <v>3</v>
      </c>
      <c r="I22">
        <v>7500</v>
      </c>
      <c r="J22" t="s">
        <v>35</v>
      </c>
      <c r="K22" t="str">
        <f>PROPER(TRIM(C22))</f>
        <v>Pooja</v>
      </c>
      <c r="L22" t="str">
        <f>PROPER(TRIM(D22))</f>
        <v>Menon</v>
      </c>
      <c r="M22" t="str">
        <f>VLOOKUP(G:G,products!A:B,2,FALSE)</f>
        <v>Apparel</v>
      </c>
      <c r="N22">
        <f>_xlfn.XLOOKUP(G22,products!$A$2:$A$10,products!$C$2:$C$10,"UNKNOWN_ITEM")</f>
        <v>2500</v>
      </c>
      <c r="O22">
        <f>N22*H22</f>
        <v>7500</v>
      </c>
    </row>
    <row r="23" spans="1:15" x14ac:dyDescent="0.25">
      <c r="A23">
        <v>1019</v>
      </c>
      <c r="B23" t="s">
        <v>10</v>
      </c>
      <c r="C23" t="s">
        <v>36</v>
      </c>
      <c r="D23" t="s">
        <v>37</v>
      </c>
      <c r="E23" t="s">
        <v>38</v>
      </c>
      <c r="F23" t="s">
        <v>39</v>
      </c>
      <c r="G23" t="s">
        <v>48</v>
      </c>
      <c r="H23">
        <v>2</v>
      </c>
      <c r="I23">
        <v>7200</v>
      </c>
      <c r="J23" t="s">
        <v>35</v>
      </c>
      <c r="K23" t="str">
        <f>PROPER(TRIM(C23))</f>
        <v>Vikram</v>
      </c>
      <c r="L23" t="str">
        <f>PROPER(TRIM(D23))</f>
        <v>Singh</v>
      </c>
      <c r="M23" t="str">
        <f>VLOOKUP(G:G,products!A:B,2,FALSE)</f>
        <v>Apparel</v>
      </c>
      <c r="N23">
        <f>_xlfn.XLOOKUP(G23,products!$A$2:$A$10,products!$C$2:$C$10,"UNKNOWN_ITEM")</f>
        <v>3600</v>
      </c>
      <c r="O23">
        <f>N23*H23</f>
        <v>7200</v>
      </c>
    </row>
    <row r="24" spans="1:15" x14ac:dyDescent="0.25">
      <c r="A24">
        <v>1034</v>
      </c>
      <c r="B24" t="s">
        <v>62</v>
      </c>
      <c r="C24" t="s">
        <v>60</v>
      </c>
      <c r="D24" t="s">
        <v>61</v>
      </c>
      <c r="E24" t="s">
        <v>20</v>
      </c>
      <c r="F24" t="s">
        <v>21</v>
      </c>
      <c r="G24" t="s">
        <v>48</v>
      </c>
      <c r="H24">
        <v>2</v>
      </c>
      <c r="I24">
        <v>7200</v>
      </c>
      <c r="J24" t="s">
        <v>35</v>
      </c>
      <c r="K24" t="str">
        <f>PROPER(TRIM(C24))</f>
        <v>Divya</v>
      </c>
      <c r="L24" t="str">
        <f>PROPER(TRIM(D24))</f>
        <v>Gupta</v>
      </c>
      <c r="M24" t="str">
        <f>VLOOKUP(G:G,products!A:B,2,FALSE)</f>
        <v>Apparel</v>
      </c>
      <c r="N24">
        <f>_xlfn.XLOOKUP(G24,products!$A$2:$A$10,products!$C$2:$C$10,"UNKNOWN_ITEM")</f>
        <v>3600</v>
      </c>
      <c r="O24">
        <f>N24*H24</f>
        <v>7200</v>
      </c>
    </row>
    <row r="25" spans="1:15" x14ac:dyDescent="0.25">
      <c r="A25">
        <v>1074</v>
      </c>
      <c r="B25" t="s">
        <v>71</v>
      </c>
      <c r="C25" t="s">
        <v>18</v>
      </c>
      <c r="D25" t="s">
        <v>19</v>
      </c>
      <c r="E25" t="s">
        <v>20</v>
      </c>
      <c r="F25" t="s">
        <v>21</v>
      </c>
      <c r="G25" t="s">
        <v>48</v>
      </c>
      <c r="H25">
        <v>2</v>
      </c>
      <c r="I25">
        <v>7200</v>
      </c>
      <c r="J25" t="s">
        <v>35</v>
      </c>
      <c r="K25" t="str">
        <f>PROPER(TRIM(C25))</f>
        <v>Nisha</v>
      </c>
      <c r="L25" t="str">
        <f>PROPER(TRIM(D25))</f>
        <v>Mishra</v>
      </c>
      <c r="M25" t="str">
        <f>VLOOKUP(G:G,products!A:B,2,FALSE)</f>
        <v>Apparel</v>
      </c>
      <c r="N25">
        <f>_xlfn.XLOOKUP(G25,products!$A$2:$A$10,products!$C$2:$C$10,"UNKNOWN_ITEM")</f>
        <v>3600</v>
      </c>
      <c r="O25">
        <f>N25*H25</f>
        <v>7200</v>
      </c>
    </row>
    <row r="26" spans="1:15" x14ac:dyDescent="0.25">
      <c r="A26">
        <v>1086</v>
      </c>
      <c r="B26" t="s">
        <v>71</v>
      </c>
      <c r="C26" t="s">
        <v>56</v>
      </c>
      <c r="D26" t="s">
        <v>57</v>
      </c>
      <c r="E26" t="s">
        <v>38</v>
      </c>
      <c r="F26" t="s">
        <v>39</v>
      </c>
      <c r="G26" t="s">
        <v>48</v>
      </c>
      <c r="H26">
        <v>2</v>
      </c>
      <c r="I26">
        <v>7200</v>
      </c>
      <c r="J26" t="s">
        <v>35</v>
      </c>
      <c r="K26" t="str">
        <f>PROPER(TRIM(C26))</f>
        <v>Manoj</v>
      </c>
      <c r="L26" t="str">
        <f>PROPER(TRIM(D26))</f>
        <v>Desai</v>
      </c>
      <c r="M26" t="str">
        <f>VLOOKUP(G:G,products!A:B,2,FALSE)</f>
        <v>Apparel</v>
      </c>
      <c r="N26">
        <f>_xlfn.XLOOKUP(G26,products!$A$2:$A$10,products!$C$2:$C$10,"UNKNOWN_ITEM")</f>
        <v>3600</v>
      </c>
      <c r="O26">
        <f>N26*H26</f>
        <v>7200</v>
      </c>
    </row>
    <row r="27" spans="1:15" x14ac:dyDescent="0.25">
      <c r="A27">
        <v>1008</v>
      </c>
      <c r="B27" t="s">
        <v>10</v>
      </c>
      <c r="C27" t="s">
        <v>41</v>
      </c>
      <c r="D27" t="s">
        <v>42</v>
      </c>
      <c r="E27" t="s">
        <v>20</v>
      </c>
      <c r="F27" t="s">
        <v>21</v>
      </c>
      <c r="G27" t="s">
        <v>43</v>
      </c>
      <c r="H27">
        <v>2</v>
      </c>
      <c r="I27">
        <v>6400</v>
      </c>
      <c r="J27" t="s">
        <v>35</v>
      </c>
      <c r="K27" t="str">
        <f>PROPER(TRIM(C27))</f>
        <v>Sneha</v>
      </c>
      <c r="L27" t="str">
        <f>PROPER(TRIM(D27))</f>
        <v>Das</v>
      </c>
      <c r="M27" t="str">
        <f>VLOOKUP(G:G,products!A:B,2,FALSE)</f>
        <v>Electronics</v>
      </c>
      <c r="N27">
        <f>_xlfn.XLOOKUP(G27,products!$A$2:$A$10,products!$C$2:$C$10,"UNKNOWN_ITEM")</f>
        <v>3200</v>
      </c>
      <c r="O27">
        <f>N27*H27</f>
        <v>6400</v>
      </c>
    </row>
    <row r="28" spans="1:15" x14ac:dyDescent="0.25">
      <c r="A28">
        <v>1020</v>
      </c>
      <c r="B28" t="s">
        <v>10</v>
      </c>
      <c r="C28" t="s">
        <v>32</v>
      </c>
      <c r="D28" t="s">
        <v>33</v>
      </c>
      <c r="E28" t="s">
        <v>13</v>
      </c>
      <c r="F28" t="s">
        <v>14</v>
      </c>
      <c r="G28" t="s">
        <v>43</v>
      </c>
      <c r="H28">
        <v>2</v>
      </c>
      <c r="I28">
        <v>6400</v>
      </c>
      <c r="J28" t="s">
        <v>35</v>
      </c>
      <c r="K28" t="str">
        <f>PROPER(TRIM(C28))</f>
        <v>Tanvi</v>
      </c>
      <c r="L28" t="str">
        <f>PROPER(TRIM(D28))</f>
        <v>Thakur</v>
      </c>
      <c r="M28" t="str">
        <f>VLOOKUP(G:G,products!A:B,2,FALSE)</f>
        <v>Electronics</v>
      </c>
      <c r="N28">
        <f>_xlfn.XLOOKUP(G28,products!$A$2:$A$10,products!$C$2:$C$10,"UNKNOWN_ITEM")</f>
        <v>3200</v>
      </c>
      <c r="O28">
        <f>N28*H28</f>
        <v>6400</v>
      </c>
    </row>
    <row r="29" spans="1:15" x14ac:dyDescent="0.25">
      <c r="A29">
        <v>1062</v>
      </c>
      <c r="B29" t="s">
        <v>71</v>
      </c>
      <c r="C29" t="s">
        <v>46</v>
      </c>
      <c r="D29" t="s">
        <v>47</v>
      </c>
      <c r="E29" t="s">
        <v>20</v>
      </c>
      <c r="F29" t="s">
        <v>21</v>
      </c>
      <c r="G29" t="s">
        <v>43</v>
      </c>
      <c r="H29">
        <v>2</v>
      </c>
      <c r="I29">
        <v>6400</v>
      </c>
      <c r="J29" t="s">
        <v>35</v>
      </c>
      <c r="K29" t="str">
        <f>PROPER(TRIM(C29))</f>
        <v>Isha</v>
      </c>
      <c r="L29" t="str">
        <f>PROPER(TRIM(D29))</f>
        <v>Pillai</v>
      </c>
      <c r="M29" t="str">
        <f>VLOOKUP(G:G,products!A:B,2,FALSE)</f>
        <v>Electronics</v>
      </c>
      <c r="N29">
        <f>_xlfn.XLOOKUP(G29,products!$A$2:$A$10,products!$C$2:$C$10,"UNKNOWN_ITEM")</f>
        <v>3200</v>
      </c>
      <c r="O29">
        <f>N29*H29</f>
        <v>6400</v>
      </c>
    </row>
    <row r="30" spans="1:15" x14ac:dyDescent="0.25">
      <c r="A30">
        <v>1081</v>
      </c>
      <c r="B30" t="s">
        <v>71</v>
      </c>
      <c r="C30" t="s">
        <v>36</v>
      </c>
      <c r="D30" t="s">
        <v>37</v>
      </c>
      <c r="E30" t="s">
        <v>38</v>
      </c>
      <c r="F30" t="s">
        <v>39</v>
      </c>
      <c r="G30" t="s">
        <v>43</v>
      </c>
      <c r="H30">
        <v>2</v>
      </c>
      <c r="I30">
        <v>6400</v>
      </c>
      <c r="J30" t="s">
        <v>35</v>
      </c>
      <c r="K30" t="str">
        <f>PROPER(TRIM(C30))</f>
        <v>Vikram</v>
      </c>
      <c r="L30" t="str">
        <f>PROPER(TRIM(D30))</f>
        <v>Singh</v>
      </c>
      <c r="M30" t="str">
        <f>VLOOKUP(G:G,products!A:B,2,FALSE)</f>
        <v>Electronics</v>
      </c>
      <c r="N30">
        <f>_xlfn.XLOOKUP(G30,products!$A$2:$A$10,products!$C$2:$C$10,"UNKNOWN_ITEM")</f>
        <v>3200</v>
      </c>
      <c r="O30">
        <f>N30*H30</f>
        <v>6400</v>
      </c>
    </row>
    <row r="31" spans="1:15" x14ac:dyDescent="0.25">
      <c r="A31">
        <v>1059</v>
      </c>
      <c r="B31" t="s">
        <v>71</v>
      </c>
      <c r="C31" t="s">
        <v>58</v>
      </c>
      <c r="D31" t="s">
        <v>59</v>
      </c>
      <c r="E31" t="s">
        <v>13</v>
      </c>
      <c r="F31" t="s">
        <v>14</v>
      </c>
      <c r="G31" t="s">
        <v>15</v>
      </c>
      <c r="H31">
        <v>2</v>
      </c>
      <c r="I31">
        <v>5600</v>
      </c>
      <c r="J31" t="s">
        <v>35</v>
      </c>
      <c r="K31" t="str">
        <f>PROPER(TRIM(C31))</f>
        <v>Priya</v>
      </c>
      <c r="L31" t="str">
        <f>PROPER(TRIM(D31))</f>
        <v>Iyer</v>
      </c>
      <c r="M31" t="str">
        <f>VLOOKUP(G:G,products!A:B,2,FALSE)</f>
        <v>Electronics</v>
      </c>
      <c r="N31">
        <f>_xlfn.XLOOKUP(G31,products!$A$2:$A$10,products!$C$2:$C$10,"UNKNOWN_ITEM")</f>
        <v>2800</v>
      </c>
      <c r="O31">
        <f>N31*H31</f>
        <v>5600</v>
      </c>
    </row>
    <row r="32" spans="1:15" hidden="1" x14ac:dyDescent="0.25">
      <c r="A32">
        <v>1031</v>
      </c>
      <c r="B32" t="s">
        <v>62</v>
      </c>
      <c r="C32" t="s">
        <v>46</v>
      </c>
      <c r="D32" t="s">
        <v>47</v>
      </c>
      <c r="E32" t="s">
        <v>20</v>
      </c>
      <c r="F32" t="s">
        <v>21</v>
      </c>
      <c r="G32" t="s">
        <v>55</v>
      </c>
      <c r="H32">
        <v>2</v>
      </c>
      <c r="I32">
        <v>5000</v>
      </c>
      <c r="J32" t="s">
        <v>26</v>
      </c>
      <c r="K32" t="str">
        <f>PROPER(TRIM(C32))</f>
        <v>Isha</v>
      </c>
      <c r="L32" t="str">
        <f>PROPER(TRIM(D32))</f>
        <v>Pillai</v>
      </c>
      <c r="M32" t="str">
        <f>VLOOKUP(G:G,products!A:B,2,FALSE)</f>
        <v>Apparel</v>
      </c>
      <c r="N32">
        <f>_xlfn.XLOOKUP(G32,products!$A$2:$A$10,products!$C$2:$C$10,"UNKNOWN_ITEM")</f>
        <v>2500</v>
      </c>
      <c r="O32">
        <f>N32*H32</f>
        <v>5000</v>
      </c>
    </row>
    <row r="33" spans="1:15" x14ac:dyDescent="0.25">
      <c r="A33">
        <v>1053</v>
      </c>
      <c r="B33" t="s">
        <v>62</v>
      </c>
      <c r="C33" t="s">
        <v>32</v>
      </c>
      <c r="D33" t="s">
        <v>33</v>
      </c>
      <c r="E33" t="s">
        <v>13</v>
      </c>
      <c r="F33" t="s">
        <v>14</v>
      </c>
      <c r="G33" t="s">
        <v>25</v>
      </c>
      <c r="H33">
        <v>1</v>
      </c>
      <c r="I33">
        <v>5200</v>
      </c>
      <c r="J33" t="s">
        <v>35</v>
      </c>
      <c r="K33" t="str">
        <f>PROPER(TRIM(C33))</f>
        <v>Tanvi</v>
      </c>
      <c r="L33" t="str">
        <f>PROPER(TRIM(D33))</f>
        <v>Thakur</v>
      </c>
      <c r="M33" t="str">
        <f>VLOOKUP(G:G,products!A:B,2,FALSE)</f>
        <v>Home</v>
      </c>
      <c r="N33">
        <f>_xlfn.XLOOKUP(G33,products!$A$2:$A$10,products!$C$2:$C$10,"UNKNOWN_ITEM")</f>
        <v>5200</v>
      </c>
      <c r="O33">
        <f>N33*H33</f>
        <v>5200</v>
      </c>
    </row>
    <row r="34" spans="1:15" hidden="1" x14ac:dyDescent="0.25">
      <c r="A34">
        <v>1033</v>
      </c>
      <c r="B34" t="s">
        <v>62</v>
      </c>
      <c r="C34" t="s">
        <v>65</v>
      </c>
      <c r="D34" t="s">
        <v>66</v>
      </c>
      <c r="E34" t="s">
        <v>13</v>
      </c>
      <c r="F34" t="s">
        <v>14</v>
      </c>
      <c r="G34" t="s">
        <v>55</v>
      </c>
      <c r="H34">
        <v>1</v>
      </c>
      <c r="I34">
        <v>2500</v>
      </c>
      <c r="J34" t="s">
        <v>17</v>
      </c>
      <c r="K34" t="str">
        <f>PROPER(TRIM(C34))</f>
        <v>Swati</v>
      </c>
      <c r="L34" t="str">
        <f>PROPER(TRIM(D34))</f>
        <v>Banerjee</v>
      </c>
      <c r="M34" t="str">
        <f>VLOOKUP(G:G,products!A:B,2,FALSE)</f>
        <v>Apparel</v>
      </c>
      <c r="N34">
        <f>_xlfn.XLOOKUP(G34,products!$A$2:$A$10,products!$C$2:$C$10,"UNKNOWN_ITEM")</f>
        <v>2500</v>
      </c>
      <c r="O34">
        <f>N34*H34</f>
        <v>2500</v>
      </c>
    </row>
    <row r="35" spans="1:15" x14ac:dyDescent="0.25">
      <c r="A35">
        <v>1067</v>
      </c>
      <c r="B35" t="s">
        <v>71</v>
      </c>
      <c r="C35" t="s">
        <v>58</v>
      </c>
      <c r="D35" t="s">
        <v>59</v>
      </c>
      <c r="E35" t="s">
        <v>13</v>
      </c>
      <c r="F35" t="s">
        <v>14</v>
      </c>
      <c r="G35" t="s">
        <v>25</v>
      </c>
      <c r="H35">
        <v>1</v>
      </c>
      <c r="I35">
        <v>5200</v>
      </c>
      <c r="J35" t="s">
        <v>35</v>
      </c>
      <c r="K35" t="str">
        <f>PROPER(TRIM(C35))</f>
        <v>Priya</v>
      </c>
      <c r="L35" t="str">
        <f>PROPER(TRIM(D35))</f>
        <v>Iyer</v>
      </c>
      <c r="M35" t="str">
        <f>VLOOKUP(G:G,products!A:B,2,FALSE)</f>
        <v>Home</v>
      </c>
      <c r="N35">
        <f>_xlfn.XLOOKUP(G35,products!$A$2:$A$10,products!$C$2:$C$10,"UNKNOWN_ITEM")</f>
        <v>5200</v>
      </c>
      <c r="O35">
        <f>N35*H35</f>
        <v>5200</v>
      </c>
    </row>
    <row r="36" spans="1:15" hidden="1" x14ac:dyDescent="0.25">
      <c r="A36">
        <v>1035</v>
      </c>
      <c r="B36" t="s">
        <v>62</v>
      </c>
      <c r="C36" t="s">
        <v>36</v>
      </c>
      <c r="D36" t="s">
        <v>37</v>
      </c>
      <c r="E36" t="s">
        <v>38</v>
      </c>
      <c r="F36" t="s">
        <v>39</v>
      </c>
      <c r="G36" t="s">
        <v>15</v>
      </c>
      <c r="H36">
        <v>1</v>
      </c>
      <c r="I36">
        <v>2800</v>
      </c>
      <c r="J36" t="s">
        <v>17</v>
      </c>
      <c r="K36" t="str">
        <f>PROPER(TRIM(C36))</f>
        <v>Vikram</v>
      </c>
      <c r="L36" t="str">
        <f>PROPER(TRIM(D36))</f>
        <v>Singh</v>
      </c>
      <c r="M36" t="str">
        <f>VLOOKUP(G:G,products!A:B,2,FALSE)</f>
        <v>Electronics</v>
      </c>
      <c r="N36">
        <f>_xlfn.XLOOKUP(G36,products!$A$2:$A$10,products!$C$2:$C$10,"UNKNOWN_ITEM")</f>
        <v>2800</v>
      </c>
      <c r="O36">
        <f>N36*H36</f>
        <v>2800</v>
      </c>
    </row>
    <row r="37" spans="1:15" hidden="1" x14ac:dyDescent="0.25">
      <c r="A37">
        <v>1036</v>
      </c>
      <c r="B37" t="s">
        <v>62</v>
      </c>
      <c r="C37" t="s">
        <v>32</v>
      </c>
      <c r="D37" t="s">
        <v>33</v>
      </c>
      <c r="E37" t="s">
        <v>13</v>
      </c>
      <c r="F37" t="s">
        <v>14</v>
      </c>
      <c r="G37" t="s">
        <v>55</v>
      </c>
      <c r="H37">
        <v>2</v>
      </c>
      <c r="I37">
        <v>5000</v>
      </c>
      <c r="J37" t="s">
        <v>17</v>
      </c>
      <c r="K37" t="str">
        <f>PROPER(TRIM(C37))</f>
        <v>Tanvi</v>
      </c>
      <c r="L37" t="str">
        <f>PROPER(TRIM(D37))</f>
        <v>Thakur</v>
      </c>
      <c r="M37" t="str">
        <f>VLOOKUP(G:G,products!A:B,2,FALSE)</f>
        <v>Apparel</v>
      </c>
      <c r="N37">
        <f>_xlfn.XLOOKUP(G37,products!$A$2:$A$10,products!$C$2:$C$10,"UNKNOWN_ITEM")</f>
        <v>2500</v>
      </c>
      <c r="O37">
        <f>N37*H37</f>
        <v>5000</v>
      </c>
    </row>
    <row r="38" spans="1:15" hidden="1" x14ac:dyDescent="0.25">
      <c r="A38">
        <v>1037</v>
      </c>
      <c r="B38" t="s">
        <v>62</v>
      </c>
      <c r="C38" t="s">
        <v>44</v>
      </c>
      <c r="D38" t="s">
        <v>45</v>
      </c>
      <c r="E38" t="s">
        <v>29</v>
      </c>
      <c r="F38" t="s">
        <v>30</v>
      </c>
      <c r="G38" t="s">
        <v>40</v>
      </c>
      <c r="H38">
        <v>2</v>
      </c>
      <c r="I38">
        <v>3800</v>
      </c>
      <c r="J38" t="s">
        <v>17</v>
      </c>
      <c r="K38" t="str">
        <f>PROPER(TRIM(C38))</f>
        <v>Rahul</v>
      </c>
      <c r="L38" t="str">
        <f>PROPER(TRIM(D38))</f>
        <v>Verma</v>
      </c>
      <c r="M38" t="str">
        <f>VLOOKUP(G:G,products!A:B,2,FALSE)</f>
        <v>Home</v>
      </c>
      <c r="N38">
        <f>_xlfn.XLOOKUP(G38,products!$A$2:$A$10,products!$C$2:$C$10,"UNKNOWN_ITEM")</f>
        <v>1900</v>
      </c>
      <c r="O38">
        <f>N38*H38</f>
        <v>3800</v>
      </c>
    </row>
    <row r="39" spans="1:15" x14ac:dyDescent="0.25">
      <c r="A39">
        <v>1029</v>
      </c>
      <c r="B39" t="s">
        <v>62</v>
      </c>
      <c r="C39" t="s">
        <v>51</v>
      </c>
      <c r="D39" t="s">
        <v>52</v>
      </c>
      <c r="E39" t="s">
        <v>29</v>
      </c>
      <c r="F39" t="s">
        <v>30</v>
      </c>
      <c r="G39" t="s">
        <v>55</v>
      </c>
      <c r="H39">
        <v>2</v>
      </c>
      <c r="I39">
        <v>5000</v>
      </c>
      <c r="J39" t="s">
        <v>35</v>
      </c>
      <c r="K39" t="str">
        <f>PROPER(TRIM(C39))</f>
        <v>Aditya</v>
      </c>
      <c r="L39" t="str">
        <f>PROPER(TRIM(D39))</f>
        <v>Rao</v>
      </c>
      <c r="M39" t="str">
        <f>VLOOKUP(G:G,products!A:B,2,FALSE)</f>
        <v>Apparel</v>
      </c>
      <c r="N39">
        <f>_xlfn.XLOOKUP(G39,products!$A$2:$A$10,products!$C$2:$C$10,"UNKNOWN_ITEM")</f>
        <v>2500</v>
      </c>
      <c r="O39">
        <f>N39*H39</f>
        <v>5000</v>
      </c>
    </row>
    <row r="40" spans="1:15" x14ac:dyDescent="0.25">
      <c r="A40">
        <v>1030</v>
      </c>
      <c r="B40" t="s">
        <v>62</v>
      </c>
      <c r="C40" t="s">
        <v>23</v>
      </c>
      <c r="D40" t="s">
        <v>24</v>
      </c>
      <c r="E40" t="s">
        <v>13</v>
      </c>
      <c r="F40" t="s">
        <v>14</v>
      </c>
      <c r="G40" t="s">
        <v>55</v>
      </c>
      <c r="H40">
        <v>2</v>
      </c>
      <c r="I40">
        <v>5000</v>
      </c>
      <c r="J40" t="s">
        <v>35</v>
      </c>
      <c r="K40" t="str">
        <f>PROPER(TRIM(C40))</f>
        <v>Lakshmi</v>
      </c>
      <c r="L40" t="str">
        <f>PROPER(TRIM(D40))</f>
        <v>Kapoor</v>
      </c>
      <c r="M40" t="str">
        <f>VLOOKUP(G:G,products!A:B,2,FALSE)</f>
        <v>Apparel</v>
      </c>
      <c r="N40">
        <f>_xlfn.XLOOKUP(G40,products!$A$2:$A$10,products!$C$2:$C$10,"UNKNOWN_ITEM")</f>
        <v>2500</v>
      </c>
      <c r="O40">
        <f>N40*H40</f>
        <v>5000</v>
      </c>
    </row>
    <row r="41" spans="1:15" x14ac:dyDescent="0.25">
      <c r="A41">
        <v>1014</v>
      </c>
      <c r="B41" t="s">
        <v>10</v>
      </c>
      <c r="C41" t="s">
        <v>51</v>
      </c>
      <c r="D41" t="s">
        <v>52</v>
      </c>
      <c r="E41" t="s">
        <v>29</v>
      </c>
      <c r="F41" t="s">
        <v>30</v>
      </c>
      <c r="G41" t="s">
        <v>22</v>
      </c>
      <c r="H41">
        <v>1</v>
      </c>
      <c r="I41">
        <v>4500</v>
      </c>
      <c r="J41" t="s">
        <v>35</v>
      </c>
      <c r="K41" t="str">
        <f>PROPER(TRIM(C41))</f>
        <v>Aditya</v>
      </c>
      <c r="L41" t="str">
        <f>PROPER(TRIM(D41))</f>
        <v>Rao</v>
      </c>
      <c r="M41" t="str">
        <f>VLOOKUP(G:G,products!A:B,2,FALSE)</f>
        <v>Electronics</v>
      </c>
      <c r="N41">
        <f>_xlfn.XLOOKUP(G41,products!$A$2:$A$10,products!$C$2:$C$10,"UNKNOWN_ITEM")</f>
        <v>4500</v>
      </c>
      <c r="O41">
        <f>N41*H41</f>
        <v>4500</v>
      </c>
    </row>
    <row r="42" spans="1:15" x14ac:dyDescent="0.25">
      <c r="A42">
        <v>1027</v>
      </c>
      <c r="B42" t="s">
        <v>62</v>
      </c>
      <c r="C42" t="s">
        <v>63</v>
      </c>
      <c r="D42" t="s">
        <v>64</v>
      </c>
      <c r="E42" t="s">
        <v>38</v>
      </c>
      <c r="F42" t="s">
        <v>39</v>
      </c>
      <c r="G42" t="s">
        <v>22</v>
      </c>
      <c r="H42">
        <v>1</v>
      </c>
      <c r="I42">
        <v>4500</v>
      </c>
      <c r="J42" t="s">
        <v>35</v>
      </c>
      <c r="K42" t="str">
        <f>PROPER(TRIM(C42))</f>
        <v>Aarav</v>
      </c>
      <c r="L42" t="str">
        <f>PROPER(TRIM(D42))</f>
        <v>Sharma</v>
      </c>
      <c r="M42" t="str">
        <f>VLOOKUP(G:G,products!A:B,2,FALSE)</f>
        <v>Electronics</v>
      </c>
      <c r="N42">
        <f>_xlfn.XLOOKUP(G42,products!$A$2:$A$10,products!$C$2:$C$10,"UNKNOWN_ITEM")</f>
        <v>4500</v>
      </c>
      <c r="O42">
        <f>N42*H42</f>
        <v>4500</v>
      </c>
    </row>
    <row r="43" spans="1:15" hidden="1" x14ac:dyDescent="0.25">
      <c r="A43">
        <v>1042</v>
      </c>
      <c r="B43" t="s">
        <v>62</v>
      </c>
      <c r="C43" t="s">
        <v>23</v>
      </c>
      <c r="D43" t="s">
        <v>24</v>
      </c>
      <c r="E43" t="s">
        <v>13</v>
      </c>
      <c r="F43" t="s">
        <v>14</v>
      </c>
      <c r="G43" t="s">
        <v>34</v>
      </c>
      <c r="H43">
        <v>1</v>
      </c>
      <c r="I43">
        <v>1100</v>
      </c>
      <c r="J43" t="s">
        <v>17</v>
      </c>
      <c r="K43" t="str">
        <f>PROPER(TRIM(C43))</f>
        <v>Lakshmi</v>
      </c>
      <c r="L43" t="str">
        <f>PROPER(TRIM(D43))</f>
        <v>Kapoor</v>
      </c>
      <c r="M43" t="str">
        <f>VLOOKUP(G:G,products!A:B,2,FALSE)</f>
        <v>Home</v>
      </c>
      <c r="N43">
        <f>_xlfn.XLOOKUP(G43,products!$A$2:$A$10,products!$C$2:$C$10,"UNKNOWN_ITEM")</f>
        <v>1100</v>
      </c>
      <c r="O43">
        <f>N43*H43</f>
        <v>1100</v>
      </c>
    </row>
    <row r="44" spans="1:15" x14ac:dyDescent="0.25">
      <c r="A44">
        <v>1055</v>
      </c>
      <c r="B44" t="s">
        <v>62</v>
      </c>
      <c r="C44" t="s">
        <v>65</v>
      </c>
      <c r="D44" t="s">
        <v>66</v>
      </c>
      <c r="E44" t="s">
        <v>13</v>
      </c>
      <c r="F44" t="s">
        <v>14</v>
      </c>
      <c r="G44" t="s">
        <v>22</v>
      </c>
      <c r="H44">
        <v>1</v>
      </c>
      <c r="I44">
        <v>4500</v>
      </c>
      <c r="J44" t="s">
        <v>35</v>
      </c>
      <c r="K44" t="str">
        <f>PROPER(TRIM(C44))</f>
        <v>Swati</v>
      </c>
      <c r="L44" t="str">
        <f>PROPER(TRIM(D44))</f>
        <v>Banerjee</v>
      </c>
      <c r="M44" t="str">
        <f>VLOOKUP(G:G,products!A:B,2,FALSE)</f>
        <v>Electronics</v>
      </c>
      <c r="N44">
        <f>_xlfn.XLOOKUP(G44,products!$A$2:$A$10,products!$C$2:$C$10,"UNKNOWN_ITEM")</f>
        <v>4500</v>
      </c>
      <c r="O44">
        <f>N44*H44</f>
        <v>4500</v>
      </c>
    </row>
    <row r="45" spans="1:15" hidden="1" x14ac:dyDescent="0.25">
      <c r="A45">
        <v>1044</v>
      </c>
      <c r="B45" t="s">
        <v>62</v>
      </c>
      <c r="C45" t="s">
        <v>11</v>
      </c>
      <c r="D45" t="s">
        <v>12</v>
      </c>
      <c r="E45" t="s">
        <v>13</v>
      </c>
      <c r="F45" t="s">
        <v>14</v>
      </c>
      <c r="G45" t="s">
        <v>48</v>
      </c>
      <c r="H45">
        <v>1</v>
      </c>
      <c r="I45">
        <v>3600</v>
      </c>
      <c r="J45" t="s">
        <v>17</v>
      </c>
      <c r="K45" t="str">
        <f>PROPER(TRIM(C45))</f>
        <v>Meera</v>
      </c>
      <c r="L45" t="str">
        <f>PROPER(TRIM(D45))</f>
        <v>Patil</v>
      </c>
      <c r="M45" t="str">
        <f>VLOOKUP(G:G,products!A:B,2,FALSE)</f>
        <v>Apparel</v>
      </c>
      <c r="N45">
        <f>_xlfn.XLOOKUP(G45,products!$A$2:$A$10,products!$C$2:$C$10,"UNKNOWN_ITEM")</f>
        <v>3600</v>
      </c>
      <c r="O45">
        <f>N45*H45</f>
        <v>3600</v>
      </c>
    </row>
    <row r="46" spans="1:15" x14ac:dyDescent="0.25">
      <c r="A46">
        <v>1073</v>
      </c>
      <c r="B46" t="s">
        <v>71</v>
      </c>
      <c r="C46" t="s">
        <v>49</v>
      </c>
      <c r="D46" t="s">
        <v>50</v>
      </c>
      <c r="E46" t="s">
        <v>29</v>
      </c>
      <c r="F46" t="s">
        <v>30</v>
      </c>
      <c r="G46" t="s">
        <v>22</v>
      </c>
      <c r="H46">
        <v>1</v>
      </c>
      <c r="I46">
        <v>4500</v>
      </c>
      <c r="J46" t="s">
        <v>35</v>
      </c>
      <c r="K46" t="str">
        <f>PROPER(TRIM(C46))</f>
        <v>Harsh</v>
      </c>
      <c r="L46" t="str">
        <f>PROPER(TRIM(D46))</f>
        <v>Chopra</v>
      </c>
      <c r="M46" t="str">
        <f>VLOOKUP(G:G,products!A:B,2,FALSE)</f>
        <v>Electronics</v>
      </c>
      <c r="N46">
        <f>_xlfn.XLOOKUP(G46,products!$A$2:$A$10,products!$C$2:$C$10,"UNKNOWN_ITEM")</f>
        <v>4500</v>
      </c>
      <c r="O46">
        <f>N46*H46</f>
        <v>4500</v>
      </c>
    </row>
    <row r="47" spans="1:15" x14ac:dyDescent="0.25">
      <c r="A47">
        <v>1087</v>
      </c>
      <c r="B47" t="s">
        <v>71</v>
      </c>
      <c r="C47" t="s">
        <v>56</v>
      </c>
      <c r="D47" t="s">
        <v>57</v>
      </c>
      <c r="E47" t="s">
        <v>38</v>
      </c>
      <c r="F47" t="s">
        <v>39</v>
      </c>
      <c r="G47" t="s">
        <v>22</v>
      </c>
      <c r="H47">
        <v>1</v>
      </c>
      <c r="I47">
        <v>4500</v>
      </c>
      <c r="J47" t="s">
        <v>35</v>
      </c>
      <c r="K47" t="str">
        <f>PROPER(TRIM(C47))</f>
        <v>Manoj</v>
      </c>
      <c r="L47" t="str">
        <f>PROPER(TRIM(D47))</f>
        <v>Desai</v>
      </c>
      <c r="M47" t="str">
        <f>VLOOKUP(G:G,products!A:B,2,FALSE)</f>
        <v>Electronics</v>
      </c>
      <c r="N47">
        <f>_xlfn.XLOOKUP(G47,products!$A$2:$A$10,products!$C$2:$C$10,"UNKNOWN_ITEM")</f>
        <v>4500</v>
      </c>
      <c r="O47">
        <f>N47*H47</f>
        <v>4500</v>
      </c>
    </row>
    <row r="48" spans="1:15" hidden="1" x14ac:dyDescent="0.25">
      <c r="A48">
        <v>1047</v>
      </c>
      <c r="B48" t="s">
        <v>62</v>
      </c>
      <c r="C48" t="s">
        <v>46</v>
      </c>
      <c r="D48" t="s">
        <v>47</v>
      </c>
      <c r="E48" t="s">
        <v>20</v>
      </c>
      <c r="F48" t="s">
        <v>21</v>
      </c>
      <c r="G48" t="s">
        <v>43</v>
      </c>
      <c r="H48">
        <v>3</v>
      </c>
      <c r="I48">
        <v>9600</v>
      </c>
      <c r="J48" t="s">
        <v>26</v>
      </c>
      <c r="K48" t="str">
        <f>PROPER(TRIM(C48))</f>
        <v>Isha</v>
      </c>
      <c r="L48" t="str">
        <f>PROPER(TRIM(D48))</f>
        <v>Pillai</v>
      </c>
      <c r="M48" t="str">
        <f>VLOOKUP(G:G,products!A:B,2,FALSE)</f>
        <v>Electronics</v>
      </c>
      <c r="N48">
        <f>_xlfn.XLOOKUP(G48,products!$A$2:$A$10,products!$C$2:$C$10,"UNKNOWN_ITEM")</f>
        <v>3200</v>
      </c>
      <c r="O48">
        <f>N48*H48</f>
        <v>9600</v>
      </c>
    </row>
    <row r="49" spans="1:15" x14ac:dyDescent="0.25">
      <c r="A49">
        <v>1045</v>
      </c>
      <c r="B49" t="s">
        <v>62</v>
      </c>
      <c r="C49" t="s">
        <v>18</v>
      </c>
      <c r="D49" t="s">
        <v>19</v>
      </c>
      <c r="E49" t="s">
        <v>20</v>
      </c>
      <c r="F49" t="s">
        <v>21</v>
      </c>
      <c r="G49" t="s">
        <v>31</v>
      </c>
      <c r="H49">
        <v>3</v>
      </c>
      <c r="I49">
        <v>4200</v>
      </c>
      <c r="J49" t="s">
        <v>35</v>
      </c>
      <c r="K49" t="str">
        <f>PROPER(TRIM(C49))</f>
        <v>Nisha</v>
      </c>
      <c r="L49" t="str">
        <f>PROPER(TRIM(D49))</f>
        <v>Mishra</v>
      </c>
      <c r="M49" t="str">
        <f>VLOOKUP(G:G,products!A:B,2,FALSE)</f>
        <v>Apparel</v>
      </c>
      <c r="N49">
        <f>_xlfn.XLOOKUP(G49,products!$A$2:$A$10,products!$C$2:$C$10,"UNKNOWN_ITEM")</f>
        <v>1400</v>
      </c>
      <c r="O49">
        <f>N49*H49</f>
        <v>4200</v>
      </c>
    </row>
    <row r="50" spans="1:15" x14ac:dyDescent="0.25">
      <c r="A50">
        <v>1018</v>
      </c>
      <c r="B50" t="s">
        <v>10</v>
      </c>
      <c r="C50" t="s">
        <v>56</v>
      </c>
      <c r="D50" t="s">
        <v>57</v>
      </c>
      <c r="E50" t="s">
        <v>38</v>
      </c>
      <c r="F50" t="s">
        <v>39</v>
      </c>
      <c r="G50" t="s">
        <v>40</v>
      </c>
      <c r="H50">
        <v>2</v>
      </c>
      <c r="I50">
        <v>3800</v>
      </c>
      <c r="J50" t="s">
        <v>35</v>
      </c>
      <c r="K50" t="str">
        <f>PROPER(TRIM(C50))</f>
        <v>Manoj</v>
      </c>
      <c r="L50" t="str">
        <f>PROPER(TRIM(D50))</f>
        <v>Desai</v>
      </c>
      <c r="M50" t="str">
        <f>VLOOKUP(G:G,products!A:B,2,FALSE)</f>
        <v>Home</v>
      </c>
      <c r="N50">
        <f>_xlfn.XLOOKUP(G50,products!$A$2:$A$10,products!$C$2:$C$10,"UNKNOWN_ITEM")</f>
        <v>1900</v>
      </c>
      <c r="O50">
        <f>N50*H50</f>
        <v>3800</v>
      </c>
    </row>
    <row r="51" spans="1:15" x14ac:dyDescent="0.25">
      <c r="A51">
        <v>1012</v>
      </c>
      <c r="B51" t="s">
        <v>10</v>
      </c>
      <c r="C51" t="s">
        <v>41</v>
      </c>
      <c r="D51" t="s">
        <v>42</v>
      </c>
      <c r="E51" t="s">
        <v>20</v>
      </c>
      <c r="F51" t="s">
        <v>21</v>
      </c>
      <c r="G51" t="s">
        <v>48</v>
      </c>
      <c r="H51">
        <v>1</v>
      </c>
      <c r="I51">
        <v>3600</v>
      </c>
      <c r="J51" t="s">
        <v>35</v>
      </c>
      <c r="K51" t="str">
        <f>PROPER(TRIM(C51))</f>
        <v>Sneha</v>
      </c>
      <c r="L51" t="str">
        <f>PROPER(TRIM(D51))</f>
        <v>Das</v>
      </c>
      <c r="M51" t="str">
        <f>VLOOKUP(G:G,products!A:B,2,FALSE)</f>
        <v>Apparel</v>
      </c>
      <c r="N51">
        <f>_xlfn.XLOOKUP(G51,products!$A$2:$A$10,products!$C$2:$C$10,"UNKNOWN_ITEM")</f>
        <v>3600</v>
      </c>
      <c r="O51">
        <f>N51*H51</f>
        <v>3600</v>
      </c>
    </row>
    <row r="52" spans="1:15" x14ac:dyDescent="0.25">
      <c r="A52">
        <v>1023</v>
      </c>
      <c r="B52" t="s">
        <v>10</v>
      </c>
      <c r="C52" t="s">
        <v>56</v>
      </c>
      <c r="D52" t="s">
        <v>57</v>
      </c>
      <c r="E52" t="s">
        <v>38</v>
      </c>
      <c r="F52" t="s">
        <v>39</v>
      </c>
      <c r="G52" t="s">
        <v>48</v>
      </c>
      <c r="H52">
        <v>1</v>
      </c>
      <c r="I52">
        <v>3600</v>
      </c>
      <c r="J52" t="s">
        <v>35</v>
      </c>
      <c r="K52" t="str">
        <f>PROPER(TRIM(C52))</f>
        <v>Manoj</v>
      </c>
      <c r="L52" t="str">
        <f>PROPER(TRIM(D52))</f>
        <v>Desai</v>
      </c>
      <c r="M52" t="str">
        <f>VLOOKUP(G:G,products!A:B,2,FALSE)</f>
        <v>Apparel</v>
      </c>
      <c r="N52">
        <f>_xlfn.XLOOKUP(G52,products!$A$2:$A$10,products!$C$2:$C$10,"UNKNOWN_ITEM")</f>
        <v>3600</v>
      </c>
      <c r="O52">
        <f>N52*H52</f>
        <v>3600</v>
      </c>
    </row>
    <row r="53" spans="1:15" hidden="1" x14ac:dyDescent="0.25">
      <c r="A53">
        <v>1052</v>
      </c>
      <c r="B53" t="s">
        <v>62</v>
      </c>
      <c r="C53" t="s">
        <v>51</v>
      </c>
      <c r="D53" t="s">
        <v>52</v>
      </c>
      <c r="E53" t="s">
        <v>29</v>
      </c>
      <c r="F53" t="s">
        <v>30</v>
      </c>
      <c r="G53" t="s">
        <v>22</v>
      </c>
      <c r="H53">
        <v>3</v>
      </c>
      <c r="I53">
        <v>13500</v>
      </c>
      <c r="J53" t="s">
        <v>17</v>
      </c>
      <c r="K53" t="str">
        <f>PROPER(TRIM(C53))</f>
        <v>Aditya</v>
      </c>
      <c r="L53" t="str">
        <f>PROPER(TRIM(D53))</f>
        <v>Rao</v>
      </c>
      <c r="M53" t="str">
        <f>VLOOKUP(G:G,products!A:B,2,FALSE)</f>
        <v>Electronics</v>
      </c>
      <c r="N53">
        <f>_xlfn.XLOOKUP(G53,products!$A$2:$A$10,products!$C$2:$C$10,"UNKNOWN_ITEM")</f>
        <v>4500</v>
      </c>
      <c r="O53">
        <f>N53*H53</f>
        <v>13500</v>
      </c>
    </row>
    <row r="54" spans="1:15" x14ac:dyDescent="0.25">
      <c r="A54">
        <v>1050</v>
      </c>
      <c r="B54" t="s">
        <v>62</v>
      </c>
      <c r="C54" t="s">
        <v>53</v>
      </c>
      <c r="D54" t="s">
        <v>54</v>
      </c>
      <c r="E54" t="s">
        <v>20</v>
      </c>
      <c r="F54" t="s">
        <v>21</v>
      </c>
      <c r="G54" t="s">
        <v>48</v>
      </c>
      <c r="H54">
        <v>1</v>
      </c>
      <c r="I54">
        <v>3600</v>
      </c>
      <c r="J54" t="s">
        <v>35</v>
      </c>
      <c r="K54" t="str">
        <f>PROPER(TRIM(C54))</f>
        <v>Pooja</v>
      </c>
      <c r="L54" t="str">
        <f>PROPER(TRIM(D54))</f>
        <v>Menon</v>
      </c>
      <c r="M54" t="str">
        <f>VLOOKUP(G:G,products!A:B,2,FALSE)</f>
        <v>Apparel</v>
      </c>
      <c r="N54">
        <f>_xlfn.XLOOKUP(G54,products!$A$2:$A$10,products!$C$2:$C$10,"UNKNOWN_ITEM")</f>
        <v>3600</v>
      </c>
      <c r="O54">
        <f>N54*H54</f>
        <v>3600</v>
      </c>
    </row>
    <row r="55" spans="1:15" x14ac:dyDescent="0.25">
      <c r="A55">
        <v>1084</v>
      </c>
      <c r="B55" t="s">
        <v>71</v>
      </c>
      <c r="C55" t="s">
        <v>23</v>
      </c>
      <c r="D55" t="s">
        <v>24</v>
      </c>
      <c r="E55" t="s">
        <v>13</v>
      </c>
      <c r="F55" t="s">
        <v>14</v>
      </c>
      <c r="G55" t="s">
        <v>48</v>
      </c>
      <c r="H55">
        <v>1</v>
      </c>
      <c r="I55">
        <v>3600</v>
      </c>
      <c r="J55" t="s">
        <v>35</v>
      </c>
      <c r="K55" t="str">
        <f>PROPER(TRIM(C55))</f>
        <v>Lakshmi</v>
      </c>
      <c r="L55" t="str">
        <f>PROPER(TRIM(D55))</f>
        <v>Kapoor</v>
      </c>
      <c r="M55" t="str">
        <f>VLOOKUP(G:G,products!A:B,2,FALSE)</f>
        <v>Apparel</v>
      </c>
      <c r="N55">
        <f>_xlfn.XLOOKUP(G55,products!$A$2:$A$10,products!$C$2:$C$10,"UNKNOWN_ITEM")</f>
        <v>3600</v>
      </c>
      <c r="O55">
        <f>N55*H55</f>
        <v>3600</v>
      </c>
    </row>
    <row r="56" spans="1:15" x14ac:dyDescent="0.25">
      <c r="A56">
        <v>1017</v>
      </c>
      <c r="B56" t="s">
        <v>10</v>
      </c>
      <c r="C56" t="s">
        <v>36</v>
      </c>
      <c r="D56" t="s">
        <v>37</v>
      </c>
      <c r="E56" t="s">
        <v>38</v>
      </c>
      <c r="F56" t="s">
        <v>39</v>
      </c>
      <c r="G56" t="s">
        <v>43</v>
      </c>
      <c r="H56">
        <v>1</v>
      </c>
      <c r="I56">
        <v>3200</v>
      </c>
      <c r="J56" t="s">
        <v>35</v>
      </c>
      <c r="K56" t="str">
        <f>PROPER(TRIM(C56))</f>
        <v>Vikram</v>
      </c>
      <c r="L56" t="str">
        <f>PROPER(TRIM(D56))</f>
        <v>Singh</v>
      </c>
      <c r="M56" t="str">
        <f>VLOOKUP(G:G,products!A:B,2,FALSE)</f>
        <v>Electronics</v>
      </c>
      <c r="N56">
        <f>_xlfn.XLOOKUP(G56,products!$A$2:$A$10,products!$C$2:$C$10,"UNKNOWN_ITEM")</f>
        <v>3200</v>
      </c>
      <c r="O56">
        <f>N56*H56</f>
        <v>3200</v>
      </c>
    </row>
    <row r="57" spans="1:15" hidden="1" x14ac:dyDescent="0.25">
      <c r="A57">
        <v>1056</v>
      </c>
      <c r="B57" t="s">
        <v>62</v>
      </c>
      <c r="C57" t="s">
        <v>53</v>
      </c>
      <c r="D57" t="s">
        <v>54</v>
      </c>
      <c r="E57" t="s">
        <v>20</v>
      </c>
      <c r="F57" t="s">
        <v>21</v>
      </c>
      <c r="G57" t="s">
        <v>43</v>
      </c>
      <c r="H57">
        <v>1</v>
      </c>
      <c r="I57">
        <v>3200</v>
      </c>
      <c r="J57" t="s">
        <v>26</v>
      </c>
      <c r="K57" t="str">
        <f>PROPER(TRIM(C57))</f>
        <v>Pooja</v>
      </c>
      <c r="L57" t="str">
        <f>PROPER(TRIM(D57))</f>
        <v>Menon</v>
      </c>
      <c r="M57" t="str">
        <f>VLOOKUP(G:G,products!A:B,2,FALSE)</f>
        <v>Electronics</v>
      </c>
      <c r="N57">
        <f>_xlfn.XLOOKUP(G57,products!$A$2:$A$10,products!$C$2:$C$10,"UNKNOWN_ITEM")</f>
        <v>3200</v>
      </c>
      <c r="O57">
        <f>N57*H57</f>
        <v>3200</v>
      </c>
    </row>
    <row r="58" spans="1:15" hidden="1" x14ac:dyDescent="0.25">
      <c r="A58">
        <v>1057</v>
      </c>
      <c r="B58" t="s">
        <v>71</v>
      </c>
      <c r="C58" t="s">
        <v>41</v>
      </c>
      <c r="D58" t="s">
        <v>42</v>
      </c>
      <c r="E58" t="s">
        <v>20</v>
      </c>
      <c r="F58" t="s">
        <v>21</v>
      </c>
      <c r="G58" t="s">
        <v>15</v>
      </c>
      <c r="H58">
        <v>1</v>
      </c>
      <c r="I58">
        <v>2800</v>
      </c>
      <c r="J58" t="s">
        <v>17</v>
      </c>
      <c r="K58" t="str">
        <f>PROPER(TRIM(C58))</f>
        <v>Sneha</v>
      </c>
      <c r="L58" t="str">
        <f>PROPER(TRIM(D58))</f>
        <v>Das</v>
      </c>
      <c r="M58" t="str">
        <f>VLOOKUP(G:G,products!A:B,2,FALSE)</f>
        <v>Electronics</v>
      </c>
      <c r="N58">
        <f>_xlfn.XLOOKUP(G58,products!$A$2:$A$10,products!$C$2:$C$10,"UNKNOWN_ITEM")</f>
        <v>2800</v>
      </c>
      <c r="O58">
        <f>N58*H58</f>
        <v>2800</v>
      </c>
    </row>
    <row r="59" spans="1:15" hidden="1" x14ac:dyDescent="0.25">
      <c r="A59">
        <v>1058</v>
      </c>
      <c r="B59" t="s">
        <v>71</v>
      </c>
      <c r="C59" t="s">
        <v>72</v>
      </c>
      <c r="D59" t="s">
        <v>73</v>
      </c>
      <c r="E59" t="s">
        <v>38</v>
      </c>
      <c r="F59" t="s">
        <v>39</v>
      </c>
      <c r="G59" t="s">
        <v>40</v>
      </c>
      <c r="H59">
        <v>1</v>
      </c>
      <c r="I59">
        <v>1900</v>
      </c>
      <c r="J59" t="s">
        <v>17</v>
      </c>
      <c r="K59" t="str">
        <f>PROPER(TRIM(C59))</f>
        <v>Suresh</v>
      </c>
      <c r="L59" t="str">
        <f>PROPER(TRIM(D59))</f>
        <v>Bose</v>
      </c>
      <c r="M59" t="str">
        <f>VLOOKUP(G:G,products!A:B,2,FALSE)</f>
        <v>Home</v>
      </c>
      <c r="N59">
        <f>_xlfn.XLOOKUP(G59,products!$A$2:$A$10,products!$C$2:$C$10,"UNKNOWN_ITEM")</f>
        <v>1900</v>
      </c>
      <c r="O59">
        <f>N59*H59</f>
        <v>1900</v>
      </c>
    </row>
    <row r="60" spans="1:15" x14ac:dyDescent="0.25">
      <c r="A60">
        <v>1028</v>
      </c>
      <c r="B60" t="s">
        <v>62</v>
      </c>
      <c r="C60" t="s">
        <v>65</v>
      </c>
      <c r="D60" t="s">
        <v>66</v>
      </c>
      <c r="E60" t="s">
        <v>13</v>
      </c>
      <c r="F60" t="s">
        <v>14</v>
      </c>
      <c r="G60" t="s">
        <v>43</v>
      </c>
      <c r="H60">
        <v>1</v>
      </c>
      <c r="I60">
        <v>3200</v>
      </c>
      <c r="J60" t="s">
        <v>35</v>
      </c>
      <c r="K60" t="str">
        <f>PROPER(TRIM(C60))</f>
        <v>Swati</v>
      </c>
      <c r="L60" t="str">
        <f>PROPER(TRIM(D60))</f>
        <v>Banerjee</v>
      </c>
      <c r="M60" t="str">
        <f>VLOOKUP(G:G,products!A:B,2,FALSE)</f>
        <v>Electronics</v>
      </c>
      <c r="N60">
        <f>_xlfn.XLOOKUP(G60,products!$A$2:$A$10,products!$C$2:$C$10,"UNKNOWN_ITEM")</f>
        <v>3200</v>
      </c>
      <c r="O60">
        <f>N60*H60</f>
        <v>3200</v>
      </c>
    </row>
    <row r="61" spans="1:15" hidden="1" x14ac:dyDescent="0.25">
      <c r="A61">
        <v>1060</v>
      </c>
      <c r="B61" t="s">
        <v>71</v>
      </c>
      <c r="C61" t="s">
        <v>72</v>
      </c>
      <c r="D61" t="s">
        <v>73</v>
      </c>
      <c r="E61" t="s">
        <v>38</v>
      </c>
      <c r="F61" t="s">
        <v>39</v>
      </c>
      <c r="G61" t="s">
        <v>43</v>
      </c>
      <c r="H61">
        <v>3</v>
      </c>
      <c r="I61">
        <v>9600</v>
      </c>
      <c r="J61" t="s">
        <v>26</v>
      </c>
      <c r="K61" t="str">
        <f>PROPER(TRIM(C61))</f>
        <v>Suresh</v>
      </c>
      <c r="L61" t="str">
        <f>PROPER(TRIM(D61))</f>
        <v>Bose</v>
      </c>
      <c r="M61" t="str">
        <f>VLOOKUP(G:G,products!A:B,2,FALSE)</f>
        <v>Electronics</v>
      </c>
      <c r="N61">
        <f>_xlfn.XLOOKUP(G61,products!$A$2:$A$10,products!$C$2:$C$10,"UNKNOWN_ITEM")</f>
        <v>3200</v>
      </c>
      <c r="O61">
        <f>N61*H61</f>
        <v>9600</v>
      </c>
    </row>
    <row r="62" spans="1:15" x14ac:dyDescent="0.25">
      <c r="A62">
        <v>1066</v>
      </c>
      <c r="B62" t="s">
        <v>71</v>
      </c>
      <c r="C62" t="s">
        <v>72</v>
      </c>
      <c r="D62" t="s">
        <v>73</v>
      </c>
      <c r="E62" t="s">
        <v>38</v>
      </c>
      <c r="F62" t="s">
        <v>39</v>
      </c>
      <c r="G62" t="s">
        <v>43</v>
      </c>
      <c r="H62">
        <v>1</v>
      </c>
      <c r="I62">
        <v>3200</v>
      </c>
      <c r="J62" t="s">
        <v>35</v>
      </c>
      <c r="K62" t="str">
        <f>PROPER(TRIM(C62))</f>
        <v>Suresh</v>
      </c>
      <c r="L62" t="str">
        <f>PROPER(TRIM(D62))</f>
        <v>Bose</v>
      </c>
      <c r="M62" t="str">
        <f>VLOOKUP(G:G,products!A:B,2,FALSE)</f>
        <v>Electronics</v>
      </c>
      <c r="N62">
        <f>_xlfn.XLOOKUP(G62,products!$A$2:$A$10,products!$C$2:$C$10,"UNKNOWN_ITEM")</f>
        <v>3200</v>
      </c>
      <c r="O62">
        <f>N62*H62</f>
        <v>3200</v>
      </c>
    </row>
    <row r="63" spans="1:15" x14ac:dyDescent="0.25">
      <c r="A63">
        <v>1085</v>
      </c>
      <c r="B63" t="s">
        <v>71</v>
      </c>
      <c r="C63" t="s">
        <v>63</v>
      </c>
      <c r="D63" t="s">
        <v>64</v>
      </c>
      <c r="E63" t="s">
        <v>38</v>
      </c>
      <c r="F63" t="s">
        <v>39</v>
      </c>
      <c r="G63" t="s">
        <v>43</v>
      </c>
      <c r="H63">
        <v>1</v>
      </c>
      <c r="I63">
        <v>3200</v>
      </c>
      <c r="J63" t="s">
        <v>35</v>
      </c>
      <c r="K63" t="str">
        <f>PROPER(TRIM(C63))</f>
        <v>Aarav</v>
      </c>
      <c r="L63" t="str">
        <f>PROPER(TRIM(D63))</f>
        <v>Sharma</v>
      </c>
      <c r="M63" t="str">
        <f>VLOOKUP(G:G,products!A:B,2,FALSE)</f>
        <v>Electronics</v>
      </c>
      <c r="N63">
        <f>_xlfn.XLOOKUP(G63,products!$A$2:$A$10,products!$C$2:$C$10,"UNKNOWN_ITEM")</f>
        <v>3200</v>
      </c>
      <c r="O63">
        <f>N63*H63</f>
        <v>3200</v>
      </c>
    </row>
    <row r="64" spans="1:15" hidden="1" x14ac:dyDescent="0.25">
      <c r="A64">
        <v>1063</v>
      </c>
      <c r="B64" t="s">
        <v>71</v>
      </c>
      <c r="C64" t="s">
        <v>11</v>
      </c>
      <c r="D64" t="s">
        <v>12</v>
      </c>
      <c r="E64" t="s">
        <v>13</v>
      </c>
      <c r="F64" t="s">
        <v>14</v>
      </c>
      <c r="G64" t="s">
        <v>25</v>
      </c>
      <c r="H64">
        <v>1</v>
      </c>
      <c r="I64">
        <v>5200</v>
      </c>
      <c r="J64" t="s">
        <v>17</v>
      </c>
      <c r="K64" t="str">
        <f>PROPER(TRIM(C64))</f>
        <v>Meera</v>
      </c>
      <c r="L64" t="str">
        <f>PROPER(TRIM(D64))</f>
        <v>Patil</v>
      </c>
      <c r="M64" t="str">
        <f>VLOOKUP(G:G,products!A:B,2,FALSE)</f>
        <v>Home</v>
      </c>
      <c r="N64">
        <f>_xlfn.XLOOKUP(G64,products!$A$2:$A$10,products!$C$2:$C$10,"UNKNOWN_ITEM")</f>
        <v>5200</v>
      </c>
      <c r="O64">
        <f>N64*H64</f>
        <v>5200</v>
      </c>
    </row>
    <row r="65" spans="1:15" hidden="1" x14ac:dyDescent="0.25">
      <c r="A65">
        <v>1064</v>
      </c>
      <c r="B65" t="s">
        <v>71</v>
      </c>
      <c r="C65" t="s">
        <v>46</v>
      </c>
      <c r="D65" t="s">
        <v>47</v>
      </c>
      <c r="E65" t="s">
        <v>20</v>
      </c>
      <c r="F65" t="s">
        <v>21</v>
      </c>
      <c r="G65" t="s">
        <v>15</v>
      </c>
      <c r="H65">
        <v>1</v>
      </c>
      <c r="I65" t="s">
        <v>16</v>
      </c>
      <c r="J65" t="s">
        <v>17</v>
      </c>
      <c r="K65" t="str">
        <f>PROPER(TRIM(C65))</f>
        <v>Isha</v>
      </c>
      <c r="L65" t="str">
        <f>PROPER(TRIM(D65))</f>
        <v>Pillai</v>
      </c>
      <c r="M65" t="str">
        <f>VLOOKUP(G:G,products!A:B,2,FALSE)</f>
        <v>Electronics</v>
      </c>
      <c r="N65">
        <f>_xlfn.XLOOKUP(G65,products!$A$2:$A$10,products!$C$2:$C$10,"UNKNOWN_ITEM")</f>
        <v>2800</v>
      </c>
      <c r="O65">
        <f>N65*H65</f>
        <v>2800</v>
      </c>
    </row>
    <row r="66" spans="1:15" x14ac:dyDescent="0.25">
      <c r="A66">
        <v>1088</v>
      </c>
      <c r="B66" t="s">
        <v>71</v>
      </c>
      <c r="C66" t="s">
        <v>41</v>
      </c>
      <c r="D66" t="s">
        <v>42</v>
      </c>
      <c r="E66" t="s">
        <v>20</v>
      </c>
      <c r="F66" t="s">
        <v>21</v>
      </c>
      <c r="G66" t="s">
        <v>43</v>
      </c>
      <c r="H66">
        <v>1</v>
      </c>
      <c r="I66">
        <v>3200</v>
      </c>
      <c r="J66" t="s">
        <v>35</v>
      </c>
      <c r="K66" t="str">
        <f>PROPER(TRIM(C66))</f>
        <v>Sneha</v>
      </c>
      <c r="L66" t="str">
        <f>PROPER(TRIM(D66))</f>
        <v>Das</v>
      </c>
      <c r="M66" t="str">
        <f>VLOOKUP(G:G,products!A:B,2,FALSE)</f>
        <v>Electronics</v>
      </c>
      <c r="N66">
        <f>_xlfn.XLOOKUP(G66,products!$A$2:$A$10,products!$C$2:$C$10,"UNKNOWN_ITEM")</f>
        <v>3200</v>
      </c>
      <c r="O66">
        <f>N66*H66</f>
        <v>3200</v>
      </c>
    </row>
    <row r="67" spans="1:15" x14ac:dyDescent="0.25">
      <c r="A67">
        <v>1038</v>
      </c>
      <c r="B67" t="s">
        <v>62</v>
      </c>
      <c r="C67" t="s">
        <v>44</v>
      </c>
      <c r="D67" t="s">
        <v>45</v>
      </c>
      <c r="E67" t="s">
        <v>29</v>
      </c>
      <c r="F67" t="s">
        <v>30</v>
      </c>
      <c r="G67" t="s">
        <v>31</v>
      </c>
      <c r="H67">
        <v>2</v>
      </c>
      <c r="I67">
        <v>2800</v>
      </c>
      <c r="J67" t="s">
        <v>35</v>
      </c>
      <c r="K67" t="str">
        <f>PROPER(TRIM(C67))</f>
        <v>Rahul</v>
      </c>
      <c r="L67" t="str">
        <f>PROPER(TRIM(D67))</f>
        <v>Verma</v>
      </c>
      <c r="M67" t="str">
        <f>VLOOKUP(G:G,products!A:B,2,FALSE)</f>
        <v>Apparel</v>
      </c>
      <c r="N67">
        <f>_xlfn.XLOOKUP(G67,products!$A$2:$A$10,products!$C$2:$C$10,"UNKNOWN_ITEM")</f>
        <v>1400</v>
      </c>
      <c r="O67">
        <f>N67*H67</f>
        <v>2800</v>
      </c>
    </row>
    <row r="68" spans="1:15" x14ac:dyDescent="0.25">
      <c r="A68">
        <v>1041</v>
      </c>
      <c r="B68" t="s">
        <v>62</v>
      </c>
      <c r="C68" t="s">
        <v>60</v>
      </c>
      <c r="D68" t="s">
        <v>61</v>
      </c>
      <c r="E68" t="s">
        <v>20</v>
      </c>
      <c r="F68" t="s">
        <v>21</v>
      </c>
      <c r="G68" t="s">
        <v>15</v>
      </c>
      <c r="H68">
        <v>1</v>
      </c>
      <c r="I68">
        <v>2800</v>
      </c>
      <c r="J68" t="s">
        <v>35</v>
      </c>
      <c r="K68" t="str">
        <f>PROPER(TRIM(C68))</f>
        <v>Divya</v>
      </c>
      <c r="L68" t="str">
        <f>PROPER(TRIM(D68))</f>
        <v>Gupta</v>
      </c>
      <c r="M68" t="str">
        <f>VLOOKUP(G:G,products!A:B,2,FALSE)</f>
        <v>Electronics</v>
      </c>
      <c r="N68">
        <f>_xlfn.XLOOKUP(G68,products!$A$2:$A$10,products!$C$2:$C$10,"UNKNOWN_ITEM")</f>
        <v>2800</v>
      </c>
      <c r="O68">
        <f>N68*H68</f>
        <v>2800</v>
      </c>
    </row>
    <row r="69" spans="1:15" hidden="1" x14ac:dyDescent="0.25">
      <c r="A69">
        <v>1068</v>
      </c>
      <c r="B69" t="s">
        <v>71</v>
      </c>
      <c r="C69" t="s">
        <v>49</v>
      </c>
      <c r="D69" t="s">
        <v>50</v>
      </c>
      <c r="E69" t="s">
        <v>29</v>
      </c>
      <c r="F69" t="s">
        <v>30</v>
      </c>
      <c r="G69" t="s">
        <v>25</v>
      </c>
      <c r="H69">
        <v>1</v>
      </c>
      <c r="I69">
        <v>5200</v>
      </c>
      <c r="J69" t="s">
        <v>17</v>
      </c>
      <c r="K69" t="str">
        <f>PROPER(TRIM(C69))</f>
        <v>Harsh</v>
      </c>
      <c r="L69" t="str">
        <f>PROPER(TRIM(D69))</f>
        <v>Chopra</v>
      </c>
      <c r="M69" t="str">
        <f>VLOOKUP(G:G,products!A:B,2,FALSE)</f>
        <v>Home</v>
      </c>
      <c r="N69">
        <f>_xlfn.XLOOKUP(G69,products!$A$2:$A$10,products!$C$2:$C$10,"UNKNOWN_ITEM")</f>
        <v>5200</v>
      </c>
      <c r="O69">
        <f>N69*H69</f>
        <v>5200</v>
      </c>
    </row>
    <row r="70" spans="1:15" x14ac:dyDescent="0.25">
      <c r="A70">
        <v>1043</v>
      </c>
      <c r="B70" t="s">
        <v>62</v>
      </c>
      <c r="C70" t="s">
        <v>69</v>
      </c>
      <c r="D70" t="s">
        <v>70</v>
      </c>
      <c r="E70" t="s">
        <v>38</v>
      </c>
      <c r="F70" t="s">
        <v>39</v>
      </c>
      <c r="G70" t="s">
        <v>15</v>
      </c>
      <c r="H70">
        <v>1</v>
      </c>
      <c r="I70">
        <v>2800</v>
      </c>
      <c r="J70" t="s">
        <v>35</v>
      </c>
      <c r="K70" t="str">
        <f>PROPER(TRIM(C70))</f>
        <v>Rohit</v>
      </c>
      <c r="L70" t="str">
        <f>PROPER(TRIM(D70))</f>
        <v>Khan</v>
      </c>
      <c r="M70" t="str">
        <f>VLOOKUP(G:G,products!A:B,2,FALSE)</f>
        <v>Electronics</v>
      </c>
      <c r="N70">
        <f>_xlfn.XLOOKUP(G70,products!$A$2:$A$10,products!$C$2:$C$10,"UNKNOWN_ITEM")</f>
        <v>2800</v>
      </c>
      <c r="O70">
        <f>N70*H70</f>
        <v>2800</v>
      </c>
    </row>
    <row r="71" spans="1:15" x14ac:dyDescent="0.25">
      <c r="A71">
        <v>1051</v>
      </c>
      <c r="B71" t="s">
        <v>62</v>
      </c>
      <c r="C71" t="s">
        <v>41</v>
      </c>
      <c r="D71" t="s">
        <v>42</v>
      </c>
      <c r="E71" t="s">
        <v>20</v>
      </c>
      <c r="F71" t="s">
        <v>21</v>
      </c>
      <c r="G71" t="s">
        <v>31</v>
      </c>
      <c r="H71">
        <v>2</v>
      </c>
      <c r="I71">
        <v>2800</v>
      </c>
      <c r="J71" t="s">
        <v>35</v>
      </c>
      <c r="K71" t="str">
        <f>PROPER(TRIM(C71))</f>
        <v>Sneha</v>
      </c>
      <c r="L71" t="str">
        <f>PROPER(TRIM(D71))</f>
        <v>Das</v>
      </c>
      <c r="M71" t="str">
        <f>VLOOKUP(G:G,products!A:B,2,FALSE)</f>
        <v>Apparel</v>
      </c>
      <c r="N71">
        <f>_xlfn.XLOOKUP(G71,products!$A$2:$A$10,products!$C$2:$C$10,"UNKNOWN_ITEM")</f>
        <v>1400</v>
      </c>
      <c r="O71">
        <f>N71*H71</f>
        <v>2800</v>
      </c>
    </row>
    <row r="72" spans="1:15" hidden="1" x14ac:dyDescent="0.25">
      <c r="A72">
        <v>1071</v>
      </c>
      <c r="B72" t="s">
        <v>71</v>
      </c>
      <c r="C72" t="s">
        <v>32</v>
      </c>
      <c r="D72" t="s">
        <v>33</v>
      </c>
      <c r="E72" t="s">
        <v>13</v>
      </c>
      <c r="F72" t="s">
        <v>14</v>
      </c>
      <c r="G72" t="s">
        <v>25</v>
      </c>
      <c r="H72">
        <v>1</v>
      </c>
      <c r="I72">
        <v>5200</v>
      </c>
      <c r="J72" t="s">
        <v>17</v>
      </c>
      <c r="K72" t="str">
        <f>PROPER(TRIM(C72))</f>
        <v>Tanvi</v>
      </c>
      <c r="L72" t="str">
        <f>PROPER(TRIM(D72))</f>
        <v>Thakur</v>
      </c>
      <c r="M72" t="str">
        <f>VLOOKUP(G:G,products!A:B,2,FALSE)</f>
        <v>Home</v>
      </c>
      <c r="N72">
        <f>_xlfn.XLOOKUP(G72,products!$A$2:$A$10,products!$C$2:$C$10,"UNKNOWN_ITEM")</f>
        <v>5200</v>
      </c>
      <c r="O72">
        <f>N72*H72</f>
        <v>5200</v>
      </c>
    </row>
    <row r="73" spans="1:15" x14ac:dyDescent="0.25">
      <c r="A73">
        <v>1076</v>
      </c>
      <c r="B73" t="s">
        <v>71</v>
      </c>
      <c r="C73" t="s">
        <v>27</v>
      </c>
      <c r="D73" t="s">
        <v>28</v>
      </c>
      <c r="E73" t="s">
        <v>29</v>
      </c>
      <c r="F73" t="s">
        <v>30</v>
      </c>
      <c r="G73" t="s">
        <v>31</v>
      </c>
      <c r="H73">
        <v>2</v>
      </c>
      <c r="I73">
        <v>2800</v>
      </c>
      <c r="J73" t="s">
        <v>35</v>
      </c>
      <c r="K73" t="str">
        <f>PROPER(TRIM(C73))</f>
        <v>Gaurav</v>
      </c>
      <c r="L73" t="str">
        <f>PROPER(TRIM(D73))</f>
        <v>Yadav</v>
      </c>
      <c r="M73" t="str">
        <f>VLOOKUP(G:G,products!A:B,2,FALSE)</f>
        <v>Apparel</v>
      </c>
      <c r="N73">
        <f>_xlfn.XLOOKUP(G73,products!$A$2:$A$10,products!$C$2:$C$10,"UNKNOWN_ITEM")</f>
        <v>1400</v>
      </c>
      <c r="O73">
        <f>N73*H73</f>
        <v>2800</v>
      </c>
    </row>
    <row r="74" spans="1:15" x14ac:dyDescent="0.25">
      <c r="A74">
        <v>1080</v>
      </c>
      <c r="B74" t="s">
        <v>71</v>
      </c>
      <c r="C74" t="s">
        <v>49</v>
      </c>
      <c r="D74" t="s">
        <v>50</v>
      </c>
      <c r="E74" t="s">
        <v>29</v>
      </c>
      <c r="F74" t="s">
        <v>30</v>
      </c>
      <c r="G74" t="s">
        <v>15</v>
      </c>
      <c r="H74">
        <v>1</v>
      </c>
      <c r="I74">
        <v>2800</v>
      </c>
      <c r="J74" t="s">
        <v>35</v>
      </c>
      <c r="K74" t="str">
        <f>PROPER(TRIM(C74))</f>
        <v>Harsh</v>
      </c>
      <c r="L74" t="str">
        <f>PROPER(TRIM(D74))</f>
        <v>Chopra</v>
      </c>
      <c r="M74" t="str">
        <f>VLOOKUP(G:G,products!A:B,2,FALSE)</f>
        <v>Electronics</v>
      </c>
      <c r="N74">
        <f>_xlfn.XLOOKUP(G74,products!$A$2:$A$10,products!$C$2:$C$10,"UNKNOWN_ITEM")</f>
        <v>2800</v>
      </c>
      <c r="O74">
        <f>N74*H74</f>
        <v>2800</v>
      </c>
    </row>
    <row r="75" spans="1:15" x14ac:dyDescent="0.25">
      <c r="A75">
        <v>1032</v>
      </c>
      <c r="B75" t="s">
        <v>62</v>
      </c>
      <c r="C75" t="s">
        <v>67</v>
      </c>
      <c r="D75" t="s">
        <v>68</v>
      </c>
      <c r="E75" t="s">
        <v>29</v>
      </c>
      <c r="F75" t="s">
        <v>30</v>
      </c>
      <c r="G75" t="s">
        <v>34</v>
      </c>
      <c r="H75">
        <v>2</v>
      </c>
      <c r="I75">
        <v>2200</v>
      </c>
      <c r="J75" t="s">
        <v>35</v>
      </c>
      <c r="K75" t="str">
        <f>PROPER(TRIM(C75))</f>
        <v>Karthik</v>
      </c>
      <c r="L75" t="str">
        <f>PROPER(TRIM(D75))</f>
        <v>Nair</v>
      </c>
      <c r="M75" t="str">
        <f>VLOOKUP(G:G,products!A:B,2,FALSE)</f>
        <v>Home</v>
      </c>
      <c r="N75">
        <f>_xlfn.XLOOKUP(G75,products!$A$2:$A$10,products!$C$2:$C$10,"UNKNOWN_ITEM")</f>
        <v>1100</v>
      </c>
      <c r="O75">
        <f>N75*H75</f>
        <v>2200</v>
      </c>
    </row>
    <row r="76" spans="1:15" hidden="1" x14ac:dyDescent="0.25">
      <c r="A76">
        <v>1075</v>
      </c>
      <c r="B76" t="s">
        <v>71</v>
      </c>
      <c r="C76" t="s">
        <v>41</v>
      </c>
      <c r="D76" t="s">
        <v>42</v>
      </c>
      <c r="E76" t="s">
        <v>20</v>
      </c>
      <c r="F76" t="s">
        <v>21</v>
      </c>
      <c r="G76" t="s">
        <v>48</v>
      </c>
      <c r="H76">
        <v>1</v>
      </c>
      <c r="I76">
        <v>3600</v>
      </c>
      <c r="J76" t="s">
        <v>17</v>
      </c>
      <c r="K76" t="str">
        <f>PROPER(TRIM(C76))</f>
        <v>Sneha</v>
      </c>
      <c r="L76" t="str">
        <f>PROPER(TRIM(D76))</f>
        <v>Das</v>
      </c>
      <c r="M76" t="str">
        <f>VLOOKUP(G:G,products!A:B,2,FALSE)</f>
        <v>Apparel</v>
      </c>
      <c r="N76">
        <f>_xlfn.XLOOKUP(G76,products!$A$2:$A$10,products!$C$2:$C$10,"UNKNOWN_ITEM")</f>
        <v>3600</v>
      </c>
      <c r="O76">
        <f>N76*H76</f>
        <v>3600</v>
      </c>
    </row>
    <row r="77" spans="1:15" x14ac:dyDescent="0.25">
      <c r="A77">
        <v>1039</v>
      </c>
      <c r="B77" t="s">
        <v>62</v>
      </c>
      <c r="C77" t="s">
        <v>44</v>
      </c>
      <c r="D77" t="s">
        <v>45</v>
      </c>
      <c r="E77" t="s">
        <v>29</v>
      </c>
      <c r="F77" t="s">
        <v>30</v>
      </c>
      <c r="G77" t="s">
        <v>34</v>
      </c>
      <c r="H77">
        <v>2</v>
      </c>
      <c r="I77">
        <v>2200</v>
      </c>
      <c r="J77" t="s">
        <v>35</v>
      </c>
      <c r="K77" t="str">
        <f>PROPER(TRIM(C77))</f>
        <v>Rahul</v>
      </c>
      <c r="L77" t="str">
        <f>PROPER(TRIM(D77))</f>
        <v>Verma</v>
      </c>
      <c r="M77" t="str">
        <f>VLOOKUP(G:G,products!A:B,2,FALSE)</f>
        <v>Home</v>
      </c>
      <c r="N77">
        <f>_xlfn.XLOOKUP(G77,products!$A$2:$A$10,products!$C$2:$C$10,"UNKNOWN_ITEM")</f>
        <v>1100</v>
      </c>
      <c r="O77">
        <f>N77*H77</f>
        <v>2200</v>
      </c>
    </row>
    <row r="78" spans="1:15" x14ac:dyDescent="0.25">
      <c r="A78">
        <v>1070</v>
      </c>
      <c r="B78" t="s">
        <v>71</v>
      </c>
      <c r="C78" t="s">
        <v>11</v>
      </c>
      <c r="D78" t="s">
        <v>12</v>
      </c>
      <c r="E78" t="s">
        <v>13</v>
      </c>
      <c r="F78" t="s">
        <v>14</v>
      </c>
      <c r="G78" t="s">
        <v>34</v>
      </c>
      <c r="H78">
        <v>2</v>
      </c>
      <c r="I78">
        <v>2200</v>
      </c>
      <c r="J78" t="s">
        <v>35</v>
      </c>
      <c r="K78" t="str">
        <f>PROPER(TRIM(C78))</f>
        <v>Meera</v>
      </c>
      <c r="L78" t="str">
        <f>PROPER(TRIM(D78))</f>
        <v>Patil</v>
      </c>
      <c r="M78" t="str">
        <f>VLOOKUP(G:G,products!A:B,2,FALSE)</f>
        <v>Home</v>
      </c>
      <c r="N78">
        <f>_xlfn.XLOOKUP(G78,products!$A$2:$A$10,products!$C$2:$C$10,"UNKNOWN_ITEM")</f>
        <v>1100</v>
      </c>
      <c r="O78">
        <f>N78*H78</f>
        <v>2200</v>
      </c>
    </row>
    <row r="79" spans="1:15" hidden="1" x14ac:dyDescent="0.25">
      <c r="A79">
        <v>1078</v>
      </c>
      <c r="B79" t="s">
        <v>71</v>
      </c>
      <c r="C79" t="s">
        <v>44</v>
      </c>
      <c r="D79" t="s">
        <v>45</v>
      </c>
      <c r="E79" t="s">
        <v>29</v>
      </c>
      <c r="F79" t="s">
        <v>30</v>
      </c>
      <c r="G79" t="s">
        <v>31</v>
      </c>
      <c r="H79">
        <v>1</v>
      </c>
      <c r="I79">
        <v>1400</v>
      </c>
      <c r="J79" t="s">
        <v>17</v>
      </c>
      <c r="K79" t="str">
        <f>PROPER(TRIM(C79))</f>
        <v>Rahul</v>
      </c>
      <c r="L79" t="str">
        <f>PROPER(TRIM(D79))</f>
        <v>Verma</v>
      </c>
      <c r="M79" t="str">
        <f>VLOOKUP(G:G,products!A:B,2,FALSE)</f>
        <v>Apparel</v>
      </c>
      <c r="N79">
        <f>_xlfn.XLOOKUP(G79,products!$A$2:$A$10,products!$C$2:$C$10,"UNKNOWN_ITEM")</f>
        <v>1400</v>
      </c>
      <c r="O79">
        <f>N79*H79</f>
        <v>1400</v>
      </c>
    </row>
    <row r="80" spans="1:15" x14ac:dyDescent="0.25">
      <c r="A80">
        <v>1007</v>
      </c>
      <c r="B80" t="s">
        <v>10</v>
      </c>
      <c r="C80" t="s">
        <v>32</v>
      </c>
      <c r="D80" t="s">
        <v>33</v>
      </c>
      <c r="E80" t="s">
        <v>13</v>
      </c>
      <c r="F80" t="s">
        <v>14</v>
      </c>
      <c r="G80" t="s">
        <v>40</v>
      </c>
      <c r="H80">
        <v>1</v>
      </c>
      <c r="I80">
        <v>1900</v>
      </c>
      <c r="J80" t="s">
        <v>35</v>
      </c>
      <c r="K80" t="str">
        <f>PROPER(TRIM(C80))</f>
        <v>Tanvi</v>
      </c>
      <c r="L80" t="str">
        <f>PROPER(TRIM(D80))</f>
        <v>Thakur</v>
      </c>
      <c r="M80" t="str">
        <f>VLOOKUP(G:G,products!A:B,2,FALSE)</f>
        <v>Home</v>
      </c>
      <c r="N80">
        <f>_xlfn.XLOOKUP(G80,products!$A$2:$A$10,products!$C$2:$C$10,"UNKNOWN_ITEM")</f>
        <v>1900</v>
      </c>
      <c r="O80">
        <f>N80*H80</f>
        <v>1900</v>
      </c>
    </row>
    <row r="81" spans="1:15" x14ac:dyDescent="0.25">
      <c r="A81">
        <v>1009</v>
      </c>
      <c r="B81" t="s">
        <v>10</v>
      </c>
      <c r="C81" t="s">
        <v>44</v>
      </c>
      <c r="D81" t="s">
        <v>45</v>
      </c>
      <c r="E81" t="s">
        <v>29</v>
      </c>
      <c r="F81" t="s">
        <v>30</v>
      </c>
      <c r="G81" t="s">
        <v>40</v>
      </c>
      <c r="H81">
        <v>1</v>
      </c>
      <c r="I81">
        <v>1900</v>
      </c>
      <c r="J81" t="s">
        <v>35</v>
      </c>
      <c r="K81" t="str">
        <f>PROPER(TRIM(C81))</f>
        <v>Rahul</v>
      </c>
      <c r="L81" t="str">
        <f>PROPER(TRIM(D81))</f>
        <v>Verma</v>
      </c>
      <c r="M81" t="str">
        <f>VLOOKUP(G:G,products!A:B,2,FALSE)</f>
        <v>Home</v>
      </c>
      <c r="N81">
        <f>_xlfn.XLOOKUP(G81,products!$A$2:$A$10,products!$C$2:$C$10,"UNKNOWN_ITEM")</f>
        <v>1900</v>
      </c>
      <c r="O81">
        <f>N81*H81</f>
        <v>1900</v>
      </c>
    </row>
    <row r="82" spans="1:15" x14ac:dyDescent="0.25">
      <c r="A82">
        <v>1046</v>
      </c>
      <c r="B82" t="s">
        <v>62</v>
      </c>
      <c r="C82" t="s">
        <v>36</v>
      </c>
      <c r="D82" t="s">
        <v>37</v>
      </c>
      <c r="E82" t="s">
        <v>38</v>
      </c>
      <c r="F82" t="s">
        <v>39</v>
      </c>
      <c r="G82" t="s">
        <v>40</v>
      </c>
      <c r="H82">
        <v>1</v>
      </c>
      <c r="I82">
        <v>1900</v>
      </c>
      <c r="J82" t="s">
        <v>35</v>
      </c>
      <c r="K82" t="str">
        <f>PROPER(TRIM(C82))</f>
        <v>Vikram</v>
      </c>
      <c r="L82" t="str">
        <f>PROPER(TRIM(D82))</f>
        <v>Singh</v>
      </c>
      <c r="M82" t="str">
        <f>VLOOKUP(G:G,products!A:B,2,FALSE)</f>
        <v>Home</v>
      </c>
      <c r="N82">
        <f>_xlfn.XLOOKUP(G82,products!$A$2:$A$10,products!$C$2:$C$10,"UNKNOWN_ITEM")</f>
        <v>1900</v>
      </c>
      <c r="O82">
        <f>N82*H82</f>
        <v>1900</v>
      </c>
    </row>
    <row r="83" spans="1:15" hidden="1" x14ac:dyDescent="0.25">
      <c r="A83">
        <v>1082</v>
      </c>
      <c r="B83" t="s">
        <v>71</v>
      </c>
      <c r="C83" t="s">
        <v>67</v>
      </c>
      <c r="D83" t="s">
        <v>68</v>
      </c>
      <c r="E83" t="s">
        <v>29</v>
      </c>
      <c r="F83" t="s">
        <v>30</v>
      </c>
      <c r="G83" t="s">
        <v>48</v>
      </c>
      <c r="H83">
        <v>3</v>
      </c>
      <c r="I83">
        <v>10800</v>
      </c>
      <c r="J83" t="s">
        <v>26</v>
      </c>
      <c r="K83" t="str">
        <f>PROPER(TRIM(C83))</f>
        <v>Karthik</v>
      </c>
      <c r="L83" t="str">
        <f>PROPER(TRIM(D83))</f>
        <v>Nair</v>
      </c>
      <c r="M83" t="str">
        <f>VLOOKUP(G:G,products!A:B,2,FALSE)</f>
        <v>Apparel</v>
      </c>
      <c r="N83">
        <f>_xlfn.XLOOKUP(G83,products!$A$2:$A$10,products!$C$2:$C$10,"UNKNOWN_ITEM")</f>
        <v>3600</v>
      </c>
      <c r="O83">
        <f>N83*H83</f>
        <v>10800</v>
      </c>
    </row>
    <row r="84" spans="1:15" x14ac:dyDescent="0.25">
      <c r="A84">
        <v>1072</v>
      </c>
      <c r="B84" t="s">
        <v>71</v>
      </c>
      <c r="C84" t="s">
        <v>46</v>
      </c>
      <c r="D84" t="s">
        <v>47</v>
      </c>
      <c r="E84" t="s">
        <v>20</v>
      </c>
      <c r="F84" t="s">
        <v>21</v>
      </c>
      <c r="G84" t="s">
        <v>40</v>
      </c>
      <c r="H84">
        <v>1</v>
      </c>
      <c r="I84">
        <v>1900</v>
      </c>
      <c r="J84" t="s">
        <v>35</v>
      </c>
      <c r="K84" t="str">
        <f>PROPER(TRIM(C84))</f>
        <v>Isha</v>
      </c>
      <c r="L84" t="str">
        <f>PROPER(TRIM(D84))</f>
        <v>Pillai</v>
      </c>
      <c r="M84" t="str">
        <f>VLOOKUP(G:G,products!A:B,2,FALSE)</f>
        <v>Home</v>
      </c>
      <c r="N84">
        <f>_xlfn.XLOOKUP(G84,products!$A$2:$A$10,products!$C$2:$C$10,"UNKNOWN_ITEM")</f>
        <v>1900</v>
      </c>
      <c r="O84">
        <f>N84*H84</f>
        <v>1900</v>
      </c>
    </row>
    <row r="85" spans="1:15" x14ac:dyDescent="0.25">
      <c r="A85">
        <v>1024</v>
      </c>
      <c r="B85" t="s">
        <v>10</v>
      </c>
      <c r="C85" t="s">
        <v>58</v>
      </c>
      <c r="D85" t="s">
        <v>59</v>
      </c>
      <c r="E85" t="s">
        <v>13</v>
      </c>
      <c r="F85" t="s">
        <v>14</v>
      </c>
      <c r="G85" t="s">
        <v>31</v>
      </c>
      <c r="H85">
        <v>1</v>
      </c>
      <c r="I85">
        <v>1400</v>
      </c>
      <c r="J85" t="s">
        <v>35</v>
      </c>
      <c r="K85" t="str">
        <f>PROPER(TRIM(C85))</f>
        <v>Priya</v>
      </c>
      <c r="L85" t="str">
        <f>PROPER(TRIM(D85))</f>
        <v>Iyer</v>
      </c>
      <c r="M85" t="str">
        <f>VLOOKUP(G:G,products!A:B,2,FALSE)</f>
        <v>Apparel</v>
      </c>
      <c r="N85">
        <f>_xlfn.XLOOKUP(G85,products!$A$2:$A$10,products!$C$2:$C$10,"UNKNOWN_ITEM")</f>
        <v>1400</v>
      </c>
      <c r="O85">
        <f>N85*H85</f>
        <v>1400</v>
      </c>
    </row>
    <row r="86" spans="1:15" x14ac:dyDescent="0.25">
      <c r="A86">
        <v>1026</v>
      </c>
      <c r="B86" t="s">
        <v>10</v>
      </c>
      <c r="C86" t="s">
        <v>36</v>
      </c>
      <c r="D86" t="s">
        <v>37</v>
      </c>
      <c r="E86" t="s">
        <v>38</v>
      </c>
      <c r="F86" t="s">
        <v>39</v>
      </c>
      <c r="G86" t="s">
        <v>31</v>
      </c>
      <c r="H86">
        <v>1</v>
      </c>
      <c r="I86">
        <v>1400</v>
      </c>
      <c r="J86" t="s">
        <v>35</v>
      </c>
      <c r="K86" t="str">
        <f>PROPER(TRIM(C86))</f>
        <v>Vikram</v>
      </c>
      <c r="L86" t="str">
        <f>PROPER(TRIM(D86))</f>
        <v>Singh</v>
      </c>
      <c r="M86" t="str">
        <f>VLOOKUP(G:G,products!A:B,2,FALSE)</f>
        <v>Apparel</v>
      </c>
      <c r="N86">
        <f>_xlfn.XLOOKUP(G86,products!$A$2:$A$10,products!$C$2:$C$10,"UNKNOWN_ITEM")</f>
        <v>1400</v>
      </c>
      <c r="O86">
        <f>N86*H86</f>
        <v>1400</v>
      </c>
    </row>
    <row r="87" spans="1:15" x14ac:dyDescent="0.25">
      <c r="A87">
        <v>1079</v>
      </c>
      <c r="B87" t="s">
        <v>71</v>
      </c>
      <c r="C87" t="s">
        <v>41</v>
      </c>
      <c r="D87" t="s">
        <v>42</v>
      </c>
      <c r="E87" t="s">
        <v>20</v>
      </c>
      <c r="F87" t="s">
        <v>21</v>
      </c>
      <c r="G87" t="s">
        <v>31</v>
      </c>
      <c r="H87">
        <v>1</v>
      </c>
      <c r="I87">
        <v>1400</v>
      </c>
      <c r="J87" t="s">
        <v>35</v>
      </c>
      <c r="K87" t="str">
        <f>PROPER(TRIM(C87))</f>
        <v>Sneha</v>
      </c>
      <c r="L87" t="str">
        <f>PROPER(TRIM(D87))</f>
        <v>Das</v>
      </c>
      <c r="M87" t="str">
        <f>VLOOKUP(G:G,products!A:B,2,FALSE)</f>
        <v>Apparel</v>
      </c>
      <c r="N87">
        <f>_xlfn.XLOOKUP(G87,products!$A$2:$A$10,products!$C$2:$C$10,"UNKNOWN_ITEM")</f>
        <v>1400</v>
      </c>
      <c r="O87">
        <f>N87*H87</f>
        <v>1400</v>
      </c>
    </row>
    <row r="88" spans="1:15" x14ac:dyDescent="0.25">
      <c r="A88">
        <v>1005</v>
      </c>
      <c r="B88" t="s">
        <v>10</v>
      </c>
      <c r="C88" t="s">
        <v>32</v>
      </c>
      <c r="D88" t="s">
        <v>33</v>
      </c>
      <c r="E88" t="s">
        <v>13</v>
      </c>
      <c r="F88" t="s">
        <v>14</v>
      </c>
      <c r="G88" t="s">
        <v>34</v>
      </c>
      <c r="H88">
        <v>1</v>
      </c>
      <c r="I88">
        <v>1100</v>
      </c>
      <c r="J88" t="s">
        <v>35</v>
      </c>
      <c r="K88" t="str">
        <f>PROPER(TRIM(C88))</f>
        <v>Tanvi</v>
      </c>
      <c r="L88" t="str">
        <f>PROPER(TRIM(D88))</f>
        <v>Thakur</v>
      </c>
      <c r="M88" t="str">
        <f>VLOOKUP(G:G,products!A:B,2,FALSE)</f>
        <v>Home</v>
      </c>
      <c r="N88">
        <f>_xlfn.XLOOKUP(G88,products!$A$2:$A$10,products!$C$2:$C$10,"UNKNOWN_ITEM")</f>
        <v>1100</v>
      </c>
      <c r="O88">
        <f>N88*H88</f>
        <v>1100</v>
      </c>
    </row>
    <row r="89" spans="1:15" x14ac:dyDescent="0.25">
      <c r="A89">
        <v>1025</v>
      </c>
      <c r="B89" t="s">
        <v>10</v>
      </c>
      <c r="C89" t="s">
        <v>60</v>
      </c>
      <c r="D89" t="s">
        <v>61</v>
      </c>
      <c r="E89" t="s">
        <v>20</v>
      </c>
      <c r="F89" t="s">
        <v>21</v>
      </c>
      <c r="G89" t="s">
        <v>34</v>
      </c>
      <c r="H89">
        <v>1</v>
      </c>
      <c r="I89">
        <v>1100</v>
      </c>
      <c r="J89" t="s">
        <v>35</v>
      </c>
      <c r="K89" t="str">
        <f>PROPER(TRIM(C89))</f>
        <v>Divya</v>
      </c>
      <c r="L89" t="str">
        <f>PROPER(TRIM(D89))</f>
        <v>Gupta</v>
      </c>
      <c r="M89" t="str">
        <f>VLOOKUP(G:G,products!A:B,2,FALSE)</f>
        <v>Home</v>
      </c>
      <c r="N89">
        <f>_xlfn.XLOOKUP(G89,products!$A$2:$A$10,products!$C$2:$C$10,"UNKNOWN_ITEM")</f>
        <v>1100</v>
      </c>
      <c r="O89">
        <f>N89*H89</f>
        <v>1100</v>
      </c>
    </row>
    <row r="90" spans="1:15" x14ac:dyDescent="0.25">
      <c r="A90">
        <v>1048</v>
      </c>
      <c r="B90" t="s">
        <v>62</v>
      </c>
      <c r="C90" t="s">
        <v>58</v>
      </c>
      <c r="D90" t="s">
        <v>59</v>
      </c>
      <c r="E90" t="s">
        <v>13</v>
      </c>
      <c r="F90" t="s">
        <v>14</v>
      </c>
      <c r="G90" t="s">
        <v>34</v>
      </c>
      <c r="H90">
        <v>1</v>
      </c>
      <c r="I90">
        <v>1100</v>
      </c>
      <c r="J90" t="s">
        <v>35</v>
      </c>
      <c r="K90" t="str">
        <f>PROPER(TRIM(C90))</f>
        <v>Priya</v>
      </c>
      <c r="L90" t="str">
        <f>PROPER(TRIM(D90))</f>
        <v>Iyer</v>
      </c>
      <c r="M90" t="str">
        <f>VLOOKUP(G:G,products!A:B,2,FALSE)</f>
        <v>Home</v>
      </c>
      <c r="N90">
        <f>_xlfn.XLOOKUP(G90,products!$A$2:$A$10,products!$C$2:$C$10,"UNKNOWN_ITEM")</f>
        <v>1100</v>
      </c>
      <c r="O90">
        <f>N90*H90</f>
        <v>1100</v>
      </c>
    </row>
    <row r="91" spans="1:15" x14ac:dyDescent="0.25">
      <c r="A91">
        <v>1089</v>
      </c>
      <c r="B91" t="s">
        <v>71</v>
      </c>
      <c r="C91" t="s">
        <v>11</v>
      </c>
      <c r="D91" t="s">
        <v>12</v>
      </c>
      <c r="E91" t="s">
        <v>13</v>
      </c>
      <c r="F91" t="s">
        <v>14</v>
      </c>
      <c r="G91" t="s">
        <v>34</v>
      </c>
      <c r="H91">
        <v>1</v>
      </c>
      <c r="I91">
        <v>1100</v>
      </c>
      <c r="J91" t="s">
        <v>35</v>
      </c>
      <c r="K91" t="str">
        <f>PROPER(TRIM(C91))</f>
        <v>Meera</v>
      </c>
      <c r="L91" t="str">
        <f>PROPER(TRIM(D91))</f>
        <v>Patil</v>
      </c>
      <c r="M91" t="str">
        <f>VLOOKUP(G:G,products!A:B,2,FALSE)</f>
        <v>Home</v>
      </c>
      <c r="N91">
        <f>_xlfn.XLOOKUP(G91,products!$A$2:$A$10,products!$C$2:$C$10,"UNKNOWN_ITEM")</f>
        <v>1100</v>
      </c>
      <c r="O91">
        <f>N91*H91</f>
        <v>1100</v>
      </c>
    </row>
  </sheetData>
  <autoFilter ref="A1:O91" xr:uid="{C7B3544B-3029-49BD-8625-4316FE4209E6}">
    <filterColumn colId="9">
      <filters>
        <filter val="completed"/>
      </filters>
    </filterColumn>
    <sortState xmlns:xlrd2="http://schemas.microsoft.com/office/spreadsheetml/2017/richdata2" ref="A6:O91">
      <sortCondition descending="1" ref="I1:I9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7001-BFF7-45A9-A15F-FE6956B264BC}">
  <dimension ref="A1:C10"/>
  <sheetViews>
    <sheetView workbookViewId="0">
      <selection activeCell="E9" sqref="E9"/>
    </sheetView>
  </sheetViews>
  <sheetFormatPr defaultRowHeight="15" x14ac:dyDescent="0.25"/>
  <sheetData>
    <row r="1" spans="1:3" x14ac:dyDescent="0.25">
      <c r="A1" t="s">
        <v>6</v>
      </c>
      <c r="B1" t="s">
        <v>74</v>
      </c>
      <c r="C1" t="s">
        <v>75</v>
      </c>
    </row>
    <row r="2" spans="1:3" x14ac:dyDescent="0.25">
      <c r="A2" t="s">
        <v>25</v>
      </c>
      <c r="B2" t="s">
        <v>76</v>
      </c>
      <c r="C2">
        <v>5200</v>
      </c>
    </row>
    <row r="3" spans="1:3" x14ac:dyDescent="0.25">
      <c r="A3" t="s">
        <v>40</v>
      </c>
      <c r="B3" t="s">
        <v>76</v>
      </c>
      <c r="C3">
        <v>1900</v>
      </c>
    </row>
    <row r="4" spans="1:3" x14ac:dyDescent="0.25">
      <c r="A4" t="s">
        <v>15</v>
      </c>
      <c r="B4" t="s">
        <v>77</v>
      </c>
      <c r="C4">
        <v>2800</v>
      </c>
    </row>
    <row r="5" spans="1:3" x14ac:dyDescent="0.25">
      <c r="A5" t="s">
        <v>31</v>
      </c>
      <c r="B5" t="s">
        <v>78</v>
      </c>
      <c r="C5">
        <v>1400</v>
      </c>
    </row>
    <row r="6" spans="1:3" x14ac:dyDescent="0.25">
      <c r="A6" t="s">
        <v>55</v>
      </c>
      <c r="B6" t="s">
        <v>78</v>
      </c>
      <c r="C6">
        <v>2500</v>
      </c>
    </row>
    <row r="7" spans="1:3" x14ac:dyDescent="0.25">
      <c r="A7" t="s">
        <v>48</v>
      </c>
      <c r="B7" t="s">
        <v>78</v>
      </c>
      <c r="C7">
        <v>3600</v>
      </c>
    </row>
    <row r="8" spans="1:3" x14ac:dyDescent="0.25">
      <c r="A8" t="s">
        <v>22</v>
      </c>
      <c r="B8" t="s">
        <v>77</v>
      </c>
      <c r="C8">
        <v>4500</v>
      </c>
    </row>
    <row r="9" spans="1:3" x14ac:dyDescent="0.25">
      <c r="A9" t="s">
        <v>34</v>
      </c>
      <c r="B9" t="s">
        <v>76</v>
      </c>
      <c r="C9">
        <v>1100</v>
      </c>
    </row>
    <row r="10" spans="1:3" x14ac:dyDescent="0.25">
      <c r="A10" t="s">
        <v>43</v>
      </c>
      <c r="B10" t="s">
        <v>77</v>
      </c>
      <c r="C10"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8A5E-E73C-4196-8687-DD83A8AE51FD}">
  <dimension ref="A1:P64"/>
  <sheetViews>
    <sheetView workbookViewId="0">
      <selection activeCell="P6" sqref="P6"/>
    </sheetView>
  </sheetViews>
  <sheetFormatPr defaultRowHeight="15" x14ac:dyDescent="0.25"/>
  <cols>
    <col min="16" max="16" width="13" customWidth="1"/>
  </cols>
  <sheetData>
    <row r="1" spans="1:16" s="1" customFormat="1" x14ac:dyDescent="0.25">
      <c r="A1" s="1" t="s">
        <v>0</v>
      </c>
      <c r="B1" s="1" t="s">
        <v>1</v>
      </c>
      <c r="C1" s="1" t="s">
        <v>79</v>
      </c>
      <c r="D1" s="1" t="s">
        <v>80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75</v>
      </c>
      <c r="J1" s="1" t="s">
        <v>7</v>
      </c>
      <c r="K1" s="1" t="s">
        <v>8</v>
      </c>
      <c r="L1" s="1" t="s">
        <v>81</v>
      </c>
      <c r="M1" s="1" t="s">
        <v>9</v>
      </c>
    </row>
    <row r="2" spans="1:16" x14ac:dyDescent="0.25">
      <c r="A2">
        <v>1061</v>
      </c>
      <c r="B2" t="s">
        <v>71</v>
      </c>
      <c r="C2" t="s">
        <v>18</v>
      </c>
      <c r="D2" t="s">
        <v>19</v>
      </c>
      <c r="E2" t="s">
        <v>20</v>
      </c>
      <c r="F2" t="s">
        <v>21</v>
      </c>
      <c r="G2" t="s">
        <v>25</v>
      </c>
      <c r="H2" t="s">
        <v>76</v>
      </c>
      <c r="I2">
        <v>5200</v>
      </c>
      <c r="J2">
        <v>3</v>
      </c>
      <c r="K2">
        <v>15600</v>
      </c>
      <c r="L2">
        <v>15600</v>
      </c>
      <c r="M2" t="s">
        <v>35</v>
      </c>
    </row>
    <row r="3" spans="1:16" x14ac:dyDescent="0.25">
      <c r="A3">
        <v>1065</v>
      </c>
      <c r="B3" t="s">
        <v>71</v>
      </c>
      <c r="C3" t="s">
        <v>32</v>
      </c>
      <c r="D3" t="s">
        <v>33</v>
      </c>
      <c r="E3" t="s">
        <v>13</v>
      </c>
      <c r="F3" t="s">
        <v>14</v>
      </c>
      <c r="G3" t="s">
        <v>25</v>
      </c>
      <c r="H3" t="s">
        <v>76</v>
      </c>
      <c r="I3">
        <v>5200</v>
      </c>
      <c r="J3">
        <v>3</v>
      </c>
      <c r="K3">
        <v>15600</v>
      </c>
      <c r="L3">
        <v>15600</v>
      </c>
      <c r="M3" t="s">
        <v>35</v>
      </c>
    </row>
    <row r="4" spans="1:16" x14ac:dyDescent="0.25">
      <c r="A4">
        <v>1069</v>
      </c>
      <c r="B4" t="s">
        <v>71</v>
      </c>
      <c r="C4" t="s">
        <v>82</v>
      </c>
      <c r="D4" t="s">
        <v>52</v>
      </c>
      <c r="E4" t="s">
        <v>29</v>
      </c>
      <c r="F4" t="s">
        <v>30</v>
      </c>
      <c r="G4" t="s">
        <v>25</v>
      </c>
      <c r="H4" t="s">
        <v>76</v>
      </c>
      <c r="I4">
        <v>5200</v>
      </c>
      <c r="J4">
        <v>3</v>
      </c>
      <c r="K4">
        <v>15600</v>
      </c>
      <c r="L4">
        <v>15600</v>
      </c>
      <c r="M4" t="s">
        <v>35</v>
      </c>
      <c r="O4" s="2" t="s">
        <v>96</v>
      </c>
      <c r="P4" s="2">
        <f>COUNT(K:K)</f>
        <v>63</v>
      </c>
    </row>
    <row r="5" spans="1:16" x14ac:dyDescent="0.25">
      <c r="A5">
        <v>1077</v>
      </c>
      <c r="B5" t="s">
        <v>71</v>
      </c>
      <c r="C5" t="s">
        <v>83</v>
      </c>
      <c r="D5" t="s">
        <v>84</v>
      </c>
      <c r="E5" t="s">
        <v>29</v>
      </c>
      <c r="F5" t="s">
        <v>30</v>
      </c>
      <c r="G5" t="s">
        <v>25</v>
      </c>
      <c r="H5" t="s">
        <v>76</v>
      </c>
      <c r="I5">
        <v>5200</v>
      </c>
      <c r="J5">
        <v>3</v>
      </c>
      <c r="K5">
        <v>15600</v>
      </c>
      <c r="L5">
        <v>15600</v>
      </c>
      <c r="M5" t="s">
        <v>35</v>
      </c>
      <c r="O5" s="2" t="s">
        <v>97</v>
      </c>
      <c r="P5" s="2">
        <f>SUM(K:K)</f>
        <v>346200</v>
      </c>
    </row>
    <row r="6" spans="1:16" x14ac:dyDescent="0.25">
      <c r="A6">
        <v>1006</v>
      </c>
      <c r="B6" t="s">
        <v>10</v>
      </c>
      <c r="C6" t="s">
        <v>85</v>
      </c>
      <c r="D6" t="s">
        <v>86</v>
      </c>
      <c r="E6" t="s">
        <v>38</v>
      </c>
      <c r="F6" t="s">
        <v>39</v>
      </c>
      <c r="G6" t="s">
        <v>22</v>
      </c>
      <c r="H6" t="s">
        <v>77</v>
      </c>
      <c r="I6">
        <v>4500</v>
      </c>
      <c r="J6">
        <v>3</v>
      </c>
      <c r="K6">
        <v>13500</v>
      </c>
      <c r="L6">
        <v>13500</v>
      </c>
      <c r="M6" t="s">
        <v>35</v>
      </c>
      <c r="O6" s="2" t="s">
        <v>98</v>
      </c>
      <c r="P6" s="2">
        <f>AVERAGE(K:K)</f>
        <v>5495.2380952380954</v>
      </c>
    </row>
    <row r="7" spans="1:16" x14ac:dyDescent="0.25">
      <c r="A7">
        <v>1040</v>
      </c>
      <c r="B7" t="s">
        <v>62</v>
      </c>
      <c r="C7" t="s">
        <v>87</v>
      </c>
      <c r="D7" t="s">
        <v>64</v>
      </c>
      <c r="E7" t="s">
        <v>38</v>
      </c>
      <c r="F7" t="s">
        <v>39</v>
      </c>
      <c r="G7" t="s">
        <v>22</v>
      </c>
      <c r="H7" t="s">
        <v>77</v>
      </c>
      <c r="I7">
        <v>4500</v>
      </c>
      <c r="J7">
        <v>3</v>
      </c>
      <c r="K7">
        <v>13500</v>
      </c>
      <c r="L7">
        <v>13500</v>
      </c>
      <c r="M7" t="s">
        <v>35</v>
      </c>
      <c r="O7" s="2" t="s">
        <v>99</v>
      </c>
      <c r="P7" s="2">
        <f>MIN(K:K)</f>
        <v>1100</v>
      </c>
    </row>
    <row r="8" spans="1:16" x14ac:dyDescent="0.25">
      <c r="A8">
        <v>1021</v>
      </c>
      <c r="B8" t="s">
        <v>10</v>
      </c>
      <c r="C8" t="s">
        <v>56</v>
      </c>
      <c r="D8" t="s">
        <v>57</v>
      </c>
      <c r="E8" t="s">
        <v>38</v>
      </c>
      <c r="F8" t="s">
        <v>39</v>
      </c>
      <c r="G8" t="s">
        <v>25</v>
      </c>
      <c r="H8" t="s">
        <v>76</v>
      </c>
      <c r="I8">
        <v>5200</v>
      </c>
      <c r="J8">
        <v>2</v>
      </c>
      <c r="K8">
        <v>10400</v>
      </c>
      <c r="L8">
        <v>10400</v>
      </c>
      <c r="M8" t="s">
        <v>35</v>
      </c>
      <c r="O8" s="2" t="s">
        <v>100</v>
      </c>
      <c r="P8" s="2">
        <f>MAX(K:K)</f>
        <v>15600</v>
      </c>
    </row>
    <row r="9" spans="1:16" x14ac:dyDescent="0.25">
      <c r="A9">
        <v>1022</v>
      </c>
      <c r="B9" t="s">
        <v>10</v>
      </c>
      <c r="C9" t="s">
        <v>85</v>
      </c>
      <c r="D9" t="s">
        <v>86</v>
      </c>
      <c r="E9" t="s">
        <v>38</v>
      </c>
      <c r="F9" t="s">
        <v>39</v>
      </c>
      <c r="G9" t="s">
        <v>25</v>
      </c>
      <c r="H9" t="s">
        <v>76</v>
      </c>
      <c r="I9">
        <v>5200</v>
      </c>
      <c r="J9">
        <v>2</v>
      </c>
      <c r="K9">
        <v>10400</v>
      </c>
      <c r="L9">
        <v>10400</v>
      </c>
      <c r="M9" t="s">
        <v>35</v>
      </c>
    </row>
    <row r="10" spans="1:16" x14ac:dyDescent="0.25">
      <c r="A10">
        <v>1083</v>
      </c>
      <c r="B10" t="s">
        <v>71</v>
      </c>
      <c r="C10" t="s">
        <v>23</v>
      </c>
      <c r="D10" t="s">
        <v>24</v>
      </c>
      <c r="E10" t="s">
        <v>13</v>
      </c>
      <c r="F10" t="s">
        <v>14</v>
      </c>
      <c r="G10" t="s">
        <v>25</v>
      </c>
      <c r="H10" t="s">
        <v>76</v>
      </c>
      <c r="I10">
        <v>5200</v>
      </c>
      <c r="J10">
        <v>2</v>
      </c>
      <c r="K10">
        <v>10400</v>
      </c>
      <c r="L10">
        <v>10400</v>
      </c>
      <c r="M10" t="s">
        <v>35</v>
      </c>
    </row>
    <row r="11" spans="1:16" x14ac:dyDescent="0.25">
      <c r="A11">
        <v>1054</v>
      </c>
      <c r="B11" t="s">
        <v>62</v>
      </c>
      <c r="C11" t="s">
        <v>56</v>
      </c>
      <c r="D11" t="s">
        <v>57</v>
      </c>
      <c r="E11" t="s">
        <v>38</v>
      </c>
      <c r="F11" t="s">
        <v>39</v>
      </c>
      <c r="G11" t="s">
        <v>43</v>
      </c>
      <c r="H11" t="s">
        <v>77</v>
      </c>
      <c r="I11">
        <v>3200</v>
      </c>
      <c r="J11">
        <v>3</v>
      </c>
      <c r="K11">
        <v>9600</v>
      </c>
      <c r="L11">
        <v>9600</v>
      </c>
      <c r="M11" t="s">
        <v>35</v>
      </c>
    </row>
    <row r="12" spans="1:16" x14ac:dyDescent="0.25">
      <c r="A12">
        <v>1090</v>
      </c>
      <c r="B12" t="s">
        <v>71</v>
      </c>
      <c r="C12" t="s">
        <v>88</v>
      </c>
      <c r="D12" t="s">
        <v>89</v>
      </c>
      <c r="E12" t="s">
        <v>29</v>
      </c>
      <c r="F12" t="s">
        <v>30</v>
      </c>
      <c r="G12" t="s">
        <v>43</v>
      </c>
      <c r="H12" t="s">
        <v>77</v>
      </c>
      <c r="I12">
        <v>3200</v>
      </c>
      <c r="J12">
        <v>3</v>
      </c>
      <c r="K12">
        <v>9600</v>
      </c>
      <c r="L12">
        <v>9600</v>
      </c>
      <c r="M12" t="s">
        <v>35</v>
      </c>
    </row>
    <row r="13" spans="1:16" x14ac:dyDescent="0.25">
      <c r="A13">
        <v>1015</v>
      </c>
      <c r="B13" t="s">
        <v>10</v>
      </c>
      <c r="C13" t="s">
        <v>23</v>
      </c>
      <c r="D13" t="s">
        <v>24</v>
      </c>
      <c r="E13" t="s">
        <v>13</v>
      </c>
      <c r="F13" t="s">
        <v>14</v>
      </c>
      <c r="G13" t="s">
        <v>22</v>
      </c>
      <c r="H13" t="s">
        <v>77</v>
      </c>
      <c r="I13">
        <v>4500</v>
      </c>
      <c r="J13">
        <v>2</v>
      </c>
      <c r="K13">
        <v>9000</v>
      </c>
      <c r="L13">
        <v>9000</v>
      </c>
      <c r="M13" t="s">
        <v>35</v>
      </c>
    </row>
    <row r="14" spans="1:16" x14ac:dyDescent="0.25">
      <c r="A14">
        <v>1049</v>
      </c>
      <c r="B14" t="s">
        <v>62</v>
      </c>
      <c r="C14" t="s">
        <v>87</v>
      </c>
      <c r="D14" t="s">
        <v>64</v>
      </c>
      <c r="E14" t="s">
        <v>38</v>
      </c>
      <c r="F14" t="s">
        <v>39</v>
      </c>
      <c r="G14" t="s">
        <v>22</v>
      </c>
      <c r="H14" t="s">
        <v>77</v>
      </c>
      <c r="I14">
        <v>4500</v>
      </c>
      <c r="J14">
        <v>2</v>
      </c>
      <c r="K14">
        <v>9000</v>
      </c>
      <c r="L14">
        <v>9000</v>
      </c>
      <c r="M14" t="s">
        <v>35</v>
      </c>
    </row>
    <row r="15" spans="1:16" x14ac:dyDescent="0.25">
      <c r="A15">
        <v>1016</v>
      </c>
      <c r="B15" t="s">
        <v>10</v>
      </c>
      <c r="C15" t="s">
        <v>53</v>
      </c>
      <c r="D15" t="s">
        <v>54</v>
      </c>
      <c r="E15" t="s">
        <v>20</v>
      </c>
      <c r="F15" t="s">
        <v>21</v>
      </c>
      <c r="G15" t="s">
        <v>55</v>
      </c>
      <c r="H15" t="s">
        <v>78</v>
      </c>
      <c r="I15">
        <v>2500</v>
      </c>
      <c r="J15">
        <v>3</v>
      </c>
      <c r="K15">
        <v>7500</v>
      </c>
      <c r="L15">
        <v>7500</v>
      </c>
      <c r="M15" t="s">
        <v>35</v>
      </c>
    </row>
    <row r="16" spans="1:16" x14ac:dyDescent="0.25">
      <c r="A16">
        <v>1019</v>
      </c>
      <c r="B16" t="s">
        <v>10</v>
      </c>
      <c r="C16" t="s">
        <v>85</v>
      </c>
      <c r="D16" t="s">
        <v>86</v>
      </c>
      <c r="E16" t="s">
        <v>38</v>
      </c>
      <c r="F16" t="s">
        <v>39</v>
      </c>
      <c r="G16" t="s">
        <v>48</v>
      </c>
      <c r="H16" t="s">
        <v>78</v>
      </c>
      <c r="I16">
        <v>3600</v>
      </c>
      <c r="J16">
        <v>2</v>
      </c>
      <c r="K16">
        <v>7200</v>
      </c>
      <c r="L16">
        <v>7200</v>
      </c>
      <c r="M16" t="s">
        <v>35</v>
      </c>
    </row>
    <row r="17" spans="1:13" x14ac:dyDescent="0.25">
      <c r="A17">
        <v>1034</v>
      </c>
      <c r="B17" t="s">
        <v>62</v>
      </c>
      <c r="C17" t="s">
        <v>60</v>
      </c>
      <c r="D17" t="s">
        <v>61</v>
      </c>
      <c r="E17" t="s">
        <v>20</v>
      </c>
      <c r="F17" t="s">
        <v>21</v>
      </c>
      <c r="G17" t="s">
        <v>48</v>
      </c>
      <c r="H17" t="s">
        <v>78</v>
      </c>
      <c r="I17">
        <v>3600</v>
      </c>
      <c r="J17">
        <v>2</v>
      </c>
      <c r="K17">
        <v>7200</v>
      </c>
      <c r="L17">
        <v>7200</v>
      </c>
      <c r="M17" t="s">
        <v>35</v>
      </c>
    </row>
    <row r="18" spans="1:13" x14ac:dyDescent="0.25">
      <c r="A18">
        <v>1074</v>
      </c>
      <c r="B18" t="s">
        <v>71</v>
      </c>
      <c r="C18" t="s">
        <v>18</v>
      </c>
      <c r="D18" t="s">
        <v>19</v>
      </c>
      <c r="E18" t="s">
        <v>20</v>
      </c>
      <c r="F18" t="s">
        <v>21</v>
      </c>
      <c r="G18" t="s">
        <v>48</v>
      </c>
      <c r="H18" t="s">
        <v>78</v>
      </c>
      <c r="I18">
        <v>3600</v>
      </c>
      <c r="J18">
        <v>2</v>
      </c>
      <c r="K18">
        <v>7200</v>
      </c>
      <c r="L18">
        <v>7200</v>
      </c>
      <c r="M18" t="s">
        <v>35</v>
      </c>
    </row>
    <row r="19" spans="1:13" x14ac:dyDescent="0.25">
      <c r="A19">
        <v>1086</v>
      </c>
      <c r="B19" t="s">
        <v>71</v>
      </c>
      <c r="C19" t="s">
        <v>56</v>
      </c>
      <c r="D19" t="s">
        <v>57</v>
      </c>
      <c r="E19" t="s">
        <v>38</v>
      </c>
      <c r="F19" t="s">
        <v>39</v>
      </c>
      <c r="G19" t="s">
        <v>48</v>
      </c>
      <c r="H19" t="s">
        <v>78</v>
      </c>
      <c r="I19">
        <v>3600</v>
      </c>
      <c r="J19">
        <v>2</v>
      </c>
      <c r="K19">
        <v>7200</v>
      </c>
      <c r="L19">
        <v>7200</v>
      </c>
      <c r="M19" t="s">
        <v>35</v>
      </c>
    </row>
    <row r="20" spans="1:13" x14ac:dyDescent="0.25">
      <c r="A20">
        <v>1008</v>
      </c>
      <c r="B20" t="s">
        <v>10</v>
      </c>
      <c r="C20" t="s">
        <v>41</v>
      </c>
      <c r="D20" t="s">
        <v>42</v>
      </c>
      <c r="E20" t="s">
        <v>20</v>
      </c>
      <c r="F20" t="s">
        <v>21</v>
      </c>
      <c r="G20" t="s">
        <v>43</v>
      </c>
      <c r="H20" t="s">
        <v>77</v>
      </c>
      <c r="I20">
        <v>3200</v>
      </c>
      <c r="J20">
        <v>2</v>
      </c>
      <c r="K20">
        <v>6400</v>
      </c>
      <c r="L20">
        <v>6400</v>
      </c>
      <c r="M20" t="s">
        <v>35</v>
      </c>
    </row>
    <row r="21" spans="1:13" x14ac:dyDescent="0.25">
      <c r="A21">
        <v>1020</v>
      </c>
      <c r="B21" t="s">
        <v>10</v>
      </c>
      <c r="C21" t="s">
        <v>32</v>
      </c>
      <c r="D21" t="s">
        <v>33</v>
      </c>
      <c r="E21" t="s">
        <v>13</v>
      </c>
      <c r="F21" t="s">
        <v>14</v>
      </c>
      <c r="G21" t="s">
        <v>43</v>
      </c>
      <c r="H21" t="s">
        <v>77</v>
      </c>
      <c r="I21">
        <v>3200</v>
      </c>
      <c r="J21">
        <v>2</v>
      </c>
      <c r="K21">
        <v>6400</v>
      </c>
      <c r="L21">
        <v>6400</v>
      </c>
      <c r="M21" t="s">
        <v>35</v>
      </c>
    </row>
    <row r="22" spans="1:13" x14ac:dyDescent="0.25">
      <c r="A22">
        <v>1062</v>
      </c>
      <c r="B22" t="s">
        <v>71</v>
      </c>
      <c r="C22" t="s">
        <v>90</v>
      </c>
      <c r="D22" t="s">
        <v>47</v>
      </c>
      <c r="E22" t="s">
        <v>20</v>
      </c>
      <c r="F22" t="s">
        <v>21</v>
      </c>
      <c r="G22" t="s">
        <v>43</v>
      </c>
      <c r="H22" t="s">
        <v>77</v>
      </c>
      <c r="I22">
        <v>3200</v>
      </c>
      <c r="J22">
        <v>2</v>
      </c>
      <c r="K22">
        <v>6400</v>
      </c>
      <c r="L22">
        <v>6400</v>
      </c>
      <c r="M22" t="s">
        <v>35</v>
      </c>
    </row>
    <row r="23" spans="1:13" x14ac:dyDescent="0.25">
      <c r="A23">
        <v>1081</v>
      </c>
      <c r="B23" t="s">
        <v>71</v>
      </c>
      <c r="C23" t="s">
        <v>85</v>
      </c>
      <c r="D23" t="s">
        <v>86</v>
      </c>
      <c r="E23" t="s">
        <v>38</v>
      </c>
      <c r="F23" t="s">
        <v>39</v>
      </c>
      <c r="G23" t="s">
        <v>43</v>
      </c>
      <c r="H23" t="s">
        <v>77</v>
      </c>
      <c r="I23">
        <v>3200</v>
      </c>
      <c r="J23">
        <v>2</v>
      </c>
      <c r="K23">
        <v>6400</v>
      </c>
      <c r="L23">
        <v>6400</v>
      </c>
      <c r="M23" t="s">
        <v>35</v>
      </c>
    </row>
    <row r="24" spans="1:13" x14ac:dyDescent="0.25">
      <c r="A24">
        <v>1059</v>
      </c>
      <c r="B24" t="s">
        <v>71</v>
      </c>
      <c r="C24" t="s">
        <v>58</v>
      </c>
      <c r="D24" t="s">
        <v>91</v>
      </c>
      <c r="E24" t="s">
        <v>13</v>
      </c>
      <c r="F24" t="s">
        <v>14</v>
      </c>
      <c r="G24" t="s">
        <v>15</v>
      </c>
      <c r="H24" t="s">
        <v>77</v>
      </c>
      <c r="I24">
        <v>2800</v>
      </c>
      <c r="J24">
        <v>2</v>
      </c>
      <c r="K24">
        <v>5600</v>
      </c>
      <c r="L24">
        <v>5600</v>
      </c>
      <c r="M24" t="s">
        <v>35</v>
      </c>
    </row>
    <row r="25" spans="1:13" x14ac:dyDescent="0.25">
      <c r="A25">
        <v>1053</v>
      </c>
      <c r="B25" t="s">
        <v>62</v>
      </c>
      <c r="C25" t="s">
        <v>32</v>
      </c>
      <c r="D25" t="s">
        <v>33</v>
      </c>
      <c r="E25" t="s">
        <v>13</v>
      </c>
      <c r="F25" t="s">
        <v>14</v>
      </c>
      <c r="G25" t="s">
        <v>25</v>
      </c>
      <c r="H25" t="s">
        <v>76</v>
      </c>
      <c r="I25">
        <v>5200</v>
      </c>
      <c r="J25">
        <v>1</v>
      </c>
      <c r="K25">
        <v>5200</v>
      </c>
      <c r="L25">
        <v>5200</v>
      </c>
      <c r="M25" t="s">
        <v>35</v>
      </c>
    </row>
    <row r="26" spans="1:13" x14ac:dyDescent="0.25">
      <c r="A26">
        <v>1067</v>
      </c>
      <c r="B26" t="s">
        <v>71</v>
      </c>
      <c r="C26" t="s">
        <v>58</v>
      </c>
      <c r="D26" t="s">
        <v>91</v>
      </c>
      <c r="E26" t="s">
        <v>13</v>
      </c>
      <c r="F26" t="s">
        <v>14</v>
      </c>
      <c r="G26" t="s">
        <v>25</v>
      </c>
      <c r="H26" t="s">
        <v>76</v>
      </c>
      <c r="I26">
        <v>5200</v>
      </c>
      <c r="J26">
        <v>1</v>
      </c>
      <c r="K26">
        <v>5200</v>
      </c>
      <c r="L26">
        <v>5200</v>
      </c>
      <c r="M26" t="s">
        <v>35</v>
      </c>
    </row>
    <row r="27" spans="1:13" x14ac:dyDescent="0.25">
      <c r="A27">
        <v>1029</v>
      </c>
      <c r="B27" t="s">
        <v>62</v>
      </c>
      <c r="C27" t="s">
        <v>82</v>
      </c>
      <c r="D27" t="s">
        <v>52</v>
      </c>
      <c r="E27" t="s">
        <v>29</v>
      </c>
      <c r="F27" t="s">
        <v>30</v>
      </c>
      <c r="G27" t="s">
        <v>55</v>
      </c>
      <c r="H27" t="s">
        <v>78</v>
      </c>
      <c r="I27">
        <v>2500</v>
      </c>
      <c r="J27">
        <v>2</v>
      </c>
      <c r="K27">
        <v>5000</v>
      </c>
      <c r="L27">
        <v>5000</v>
      </c>
      <c r="M27" t="s">
        <v>35</v>
      </c>
    </row>
    <row r="28" spans="1:13" x14ac:dyDescent="0.25">
      <c r="A28">
        <v>1030</v>
      </c>
      <c r="B28" t="s">
        <v>62</v>
      </c>
      <c r="C28" t="s">
        <v>23</v>
      </c>
      <c r="D28" t="s">
        <v>24</v>
      </c>
      <c r="E28" t="s">
        <v>13</v>
      </c>
      <c r="F28" t="s">
        <v>14</v>
      </c>
      <c r="G28" t="s">
        <v>55</v>
      </c>
      <c r="H28" t="s">
        <v>78</v>
      </c>
      <c r="I28">
        <v>2500</v>
      </c>
      <c r="J28">
        <v>2</v>
      </c>
      <c r="K28">
        <v>5000</v>
      </c>
      <c r="L28">
        <v>5000</v>
      </c>
      <c r="M28" t="s">
        <v>35</v>
      </c>
    </row>
    <row r="29" spans="1:13" x14ac:dyDescent="0.25">
      <c r="A29">
        <v>1014</v>
      </c>
      <c r="B29" t="s">
        <v>10</v>
      </c>
      <c r="C29" t="s">
        <v>82</v>
      </c>
      <c r="D29" t="s">
        <v>52</v>
      </c>
      <c r="E29" t="s">
        <v>29</v>
      </c>
      <c r="F29" t="s">
        <v>30</v>
      </c>
      <c r="G29" t="s">
        <v>22</v>
      </c>
      <c r="H29" t="s">
        <v>77</v>
      </c>
      <c r="I29">
        <v>4500</v>
      </c>
      <c r="J29">
        <v>1</v>
      </c>
      <c r="K29">
        <v>4500</v>
      </c>
      <c r="L29">
        <v>4500</v>
      </c>
      <c r="M29" t="s">
        <v>35</v>
      </c>
    </row>
    <row r="30" spans="1:13" x14ac:dyDescent="0.25">
      <c r="A30">
        <v>1027</v>
      </c>
      <c r="B30" t="s">
        <v>62</v>
      </c>
      <c r="C30" t="s">
        <v>87</v>
      </c>
      <c r="D30" t="s">
        <v>64</v>
      </c>
      <c r="E30" t="s">
        <v>38</v>
      </c>
      <c r="F30" t="s">
        <v>39</v>
      </c>
      <c r="G30" t="s">
        <v>22</v>
      </c>
      <c r="H30" t="s">
        <v>77</v>
      </c>
      <c r="I30">
        <v>4500</v>
      </c>
      <c r="J30">
        <v>1</v>
      </c>
      <c r="K30">
        <v>4500</v>
      </c>
      <c r="L30">
        <v>4500</v>
      </c>
      <c r="M30" t="s">
        <v>35</v>
      </c>
    </row>
    <row r="31" spans="1:13" x14ac:dyDescent="0.25">
      <c r="A31">
        <v>1055</v>
      </c>
      <c r="B31" t="s">
        <v>62</v>
      </c>
      <c r="C31" t="s">
        <v>65</v>
      </c>
      <c r="D31" t="s">
        <v>66</v>
      </c>
      <c r="E31" t="s">
        <v>13</v>
      </c>
      <c r="F31" t="s">
        <v>14</v>
      </c>
      <c r="G31" t="s">
        <v>22</v>
      </c>
      <c r="H31" t="s">
        <v>77</v>
      </c>
      <c r="I31">
        <v>4500</v>
      </c>
      <c r="J31">
        <v>1</v>
      </c>
      <c r="K31">
        <v>4500</v>
      </c>
      <c r="L31">
        <v>4500</v>
      </c>
      <c r="M31" t="s">
        <v>35</v>
      </c>
    </row>
    <row r="32" spans="1:13" x14ac:dyDescent="0.25">
      <c r="A32">
        <v>1073</v>
      </c>
      <c r="B32" t="s">
        <v>71</v>
      </c>
      <c r="C32" t="s">
        <v>49</v>
      </c>
      <c r="D32" t="s">
        <v>50</v>
      </c>
      <c r="E32" t="s">
        <v>29</v>
      </c>
      <c r="F32" t="s">
        <v>30</v>
      </c>
      <c r="G32" t="s">
        <v>22</v>
      </c>
      <c r="H32" t="s">
        <v>77</v>
      </c>
      <c r="I32">
        <v>4500</v>
      </c>
      <c r="J32">
        <v>1</v>
      </c>
      <c r="K32">
        <v>4500</v>
      </c>
      <c r="L32">
        <v>4500</v>
      </c>
      <c r="M32" t="s">
        <v>35</v>
      </c>
    </row>
    <row r="33" spans="1:13" x14ac:dyDescent="0.25">
      <c r="A33">
        <v>1087</v>
      </c>
      <c r="B33" t="s">
        <v>71</v>
      </c>
      <c r="C33" t="s">
        <v>56</v>
      </c>
      <c r="D33" t="s">
        <v>57</v>
      </c>
      <c r="E33" t="s">
        <v>38</v>
      </c>
      <c r="F33" t="s">
        <v>39</v>
      </c>
      <c r="G33" t="s">
        <v>22</v>
      </c>
      <c r="H33" t="s">
        <v>77</v>
      </c>
      <c r="I33">
        <v>4500</v>
      </c>
      <c r="J33">
        <v>1</v>
      </c>
      <c r="K33">
        <v>4500</v>
      </c>
      <c r="L33">
        <v>4500</v>
      </c>
      <c r="M33" t="s">
        <v>35</v>
      </c>
    </row>
    <row r="34" spans="1:13" x14ac:dyDescent="0.25">
      <c r="A34">
        <v>1045</v>
      </c>
      <c r="B34" t="s">
        <v>62</v>
      </c>
      <c r="C34" t="s">
        <v>18</v>
      </c>
      <c r="D34" t="s">
        <v>19</v>
      </c>
      <c r="E34" t="s">
        <v>20</v>
      </c>
      <c r="F34" t="s">
        <v>21</v>
      </c>
      <c r="G34" t="s">
        <v>31</v>
      </c>
      <c r="H34" t="s">
        <v>78</v>
      </c>
      <c r="I34">
        <v>1400</v>
      </c>
      <c r="J34">
        <v>3</v>
      </c>
      <c r="K34">
        <v>4200</v>
      </c>
      <c r="L34">
        <v>4200</v>
      </c>
      <c r="M34" t="s">
        <v>35</v>
      </c>
    </row>
    <row r="35" spans="1:13" x14ac:dyDescent="0.25">
      <c r="A35">
        <v>1018</v>
      </c>
      <c r="B35" t="s">
        <v>10</v>
      </c>
      <c r="C35" t="s">
        <v>56</v>
      </c>
      <c r="D35" t="s">
        <v>57</v>
      </c>
      <c r="E35" t="s">
        <v>38</v>
      </c>
      <c r="F35" t="s">
        <v>39</v>
      </c>
      <c r="G35" t="s">
        <v>40</v>
      </c>
      <c r="H35" t="s">
        <v>76</v>
      </c>
      <c r="I35">
        <v>1900</v>
      </c>
      <c r="J35">
        <v>2</v>
      </c>
      <c r="K35">
        <v>3800</v>
      </c>
      <c r="L35">
        <v>3800</v>
      </c>
      <c r="M35" t="s">
        <v>35</v>
      </c>
    </row>
    <row r="36" spans="1:13" x14ac:dyDescent="0.25">
      <c r="A36">
        <v>1012</v>
      </c>
      <c r="B36" t="s">
        <v>10</v>
      </c>
      <c r="C36" t="s">
        <v>41</v>
      </c>
      <c r="D36" t="s">
        <v>42</v>
      </c>
      <c r="E36" t="s">
        <v>20</v>
      </c>
      <c r="F36" t="s">
        <v>21</v>
      </c>
      <c r="G36" t="s">
        <v>48</v>
      </c>
      <c r="H36" t="s">
        <v>78</v>
      </c>
      <c r="I36">
        <v>3600</v>
      </c>
      <c r="J36">
        <v>1</v>
      </c>
      <c r="K36">
        <v>3600</v>
      </c>
      <c r="L36">
        <v>3600</v>
      </c>
      <c r="M36" t="s">
        <v>35</v>
      </c>
    </row>
    <row r="37" spans="1:13" x14ac:dyDescent="0.25">
      <c r="A37">
        <v>1023</v>
      </c>
      <c r="B37" t="s">
        <v>10</v>
      </c>
      <c r="C37" t="s">
        <v>56</v>
      </c>
      <c r="D37" t="s">
        <v>57</v>
      </c>
      <c r="E37" t="s">
        <v>38</v>
      </c>
      <c r="F37" t="s">
        <v>39</v>
      </c>
      <c r="G37" t="s">
        <v>48</v>
      </c>
      <c r="H37" t="s">
        <v>78</v>
      </c>
      <c r="I37">
        <v>3600</v>
      </c>
      <c r="J37">
        <v>1</v>
      </c>
      <c r="K37">
        <v>3600</v>
      </c>
      <c r="L37">
        <v>3600</v>
      </c>
      <c r="M37" t="s">
        <v>35</v>
      </c>
    </row>
    <row r="38" spans="1:13" x14ac:dyDescent="0.25">
      <c r="A38">
        <v>1050</v>
      </c>
      <c r="B38" t="s">
        <v>62</v>
      </c>
      <c r="C38" t="s">
        <v>53</v>
      </c>
      <c r="D38" t="s">
        <v>54</v>
      </c>
      <c r="E38" t="s">
        <v>20</v>
      </c>
      <c r="F38" t="s">
        <v>21</v>
      </c>
      <c r="G38" t="s">
        <v>48</v>
      </c>
      <c r="H38" t="s">
        <v>78</v>
      </c>
      <c r="I38">
        <v>3600</v>
      </c>
      <c r="J38">
        <v>1</v>
      </c>
      <c r="K38">
        <v>3600</v>
      </c>
      <c r="L38">
        <v>3600</v>
      </c>
      <c r="M38" t="s">
        <v>35</v>
      </c>
    </row>
    <row r="39" spans="1:13" x14ac:dyDescent="0.25">
      <c r="A39">
        <v>1084</v>
      </c>
      <c r="B39" t="s">
        <v>71</v>
      </c>
      <c r="C39" t="s">
        <v>23</v>
      </c>
      <c r="D39" t="s">
        <v>24</v>
      </c>
      <c r="E39" t="s">
        <v>13</v>
      </c>
      <c r="F39" t="s">
        <v>14</v>
      </c>
      <c r="G39" t="s">
        <v>48</v>
      </c>
      <c r="H39" t="s">
        <v>78</v>
      </c>
      <c r="I39">
        <v>3600</v>
      </c>
      <c r="J39">
        <v>1</v>
      </c>
      <c r="K39">
        <v>3600</v>
      </c>
      <c r="L39">
        <v>3600</v>
      </c>
      <c r="M39" t="s">
        <v>35</v>
      </c>
    </row>
    <row r="40" spans="1:13" x14ac:dyDescent="0.25">
      <c r="A40">
        <v>1017</v>
      </c>
      <c r="B40" t="s">
        <v>10</v>
      </c>
      <c r="C40" t="s">
        <v>85</v>
      </c>
      <c r="D40" t="s">
        <v>86</v>
      </c>
      <c r="E40" t="s">
        <v>38</v>
      </c>
      <c r="F40" t="s">
        <v>39</v>
      </c>
      <c r="G40" t="s">
        <v>43</v>
      </c>
      <c r="H40" t="s">
        <v>77</v>
      </c>
      <c r="I40">
        <v>3200</v>
      </c>
      <c r="J40">
        <v>1</v>
      </c>
      <c r="K40">
        <v>3200</v>
      </c>
      <c r="L40">
        <v>3200</v>
      </c>
      <c r="M40" t="s">
        <v>35</v>
      </c>
    </row>
    <row r="41" spans="1:13" x14ac:dyDescent="0.25">
      <c r="A41">
        <v>1028</v>
      </c>
      <c r="B41" t="s">
        <v>62</v>
      </c>
      <c r="C41" t="s">
        <v>65</v>
      </c>
      <c r="D41" t="s">
        <v>66</v>
      </c>
      <c r="E41" t="s">
        <v>13</v>
      </c>
      <c r="F41" t="s">
        <v>14</v>
      </c>
      <c r="G41" t="s">
        <v>43</v>
      </c>
      <c r="H41" t="s">
        <v>77</v>
      </c>
      <c r="I41">
        <v>3200</v>
      </c>
      <c r="J41">
        <v>1</v>
      </c>
      <c r="K41">
        <v>3200</v>
      </c>
      <c r="L41">
        <v>3200</v>
      </c>
      <c r="M41" t="s">
        <v>35</v>
      </c>
    </row>
    <row r="42" spans="1:13" x14ac:dyDescent="0.25">
      <c r="A42">
        <v>1066</v>
      </c>
      <c r="B42" t="s">
        <v>71</v>
      </c>
      <c r="C42" t="s">
        <v>92</v>
      </c>
      <c r="D42" t="s">
        <v>93</v>
      </c>
      <c r="E42" t="s">
        <v>38</v>
      </c>
      <c r="F42" t="s">
        <v>39</v>
      </c>
      <c r="G42" t="s">
        <v>43</v>
      </c>
      <c r="H42" t="s">
        <v>77</v>
      </c>
      <c r="I42">
        <v>3200</v>
      </c>
      <c r="J42">
        <v>1</v>
      </c>
      <c r="K42">
        <v>3200</v>
      </c>
      <c r="L42">
        <v>3200</v>
      </c>
      <c r="M42" t="s">
        <v>35</v>
      </c>
    </row>
    <row r="43" spans="1:13" x14ac:dyDescent="0.25">
      <c r="A43">
        <v>1085</v>
      </c>
      <c r="B43" t="s">
        <v>71</v>
      </c>
      <c r="C43" t="s">
        <v>87</v>
      </c>
      <c r="D43" t="s">
        <v>64</v>
      </c>
      <c r="E43" t="s">
        <v>38</v>
      </c>
      <c r="F43" t="s">
        <v>39</v>
      </c>
      <c r="G43" t="s">
        <v>43</v>
      </c>
      <c r="H43" t="s">
        <v>77</v>
      </c>
      <c r="I43">
        <v>3200</v>
      </c>
      <c r="J43">
        <v>1</v>
      </c>
      <c r="K43">
        <v>3200</v>
      </c>
      <c r="L43">
        <v>3200</v>
      </c>
      <c r="M43" t="s">
        <v>35</v>
      </c>
    </row>
    <row r="44" spans="1:13" x14ac:dyDescent="0.25">
      <c r="A44">
        <v>1088</v>
      </c>
      <c r="B44" t="s">
        <v>71</v>
      </c>
      <c r="C44" t="s">
        <v>41</v>
      </c>
      <c r="D44" t="s">
        <v>42</v>
      </c>
      <c r="E44" t="s">
        <v>20</v>
      </c>
      <c r="F44" t="s">
        <v>21</v>
      </c>
      <c r="G44" t="s">
        <v>43</v>
      </c>
      <c r="H44" t="s">
        <v>77</v>
      </c>
      <c r="I44">
        <v>3200</v>
      </c>
      <c r="J44">
        <v>1</v>
      </c>
      <c r="K44">
        <v>3200</v>
      </c>
      <c r="L44">
        <v>3200</v>
      </c>
      <c r="M44" t="s">
        <v>35</v>
      </c>
    </row>
    <row r="45" spans="1:13" x14ac:dyDescent="0.25">
      <c r="A45">
        <v>1038</v>
      </c>
      <c r="B45" t="s">
        <v>62</v>
      </c>
      <c r="C45" t="s">
        <v>83</v>
      </c>
      <c r="D45" t="s">
        <v>84</v>
      </c>
      <c r="E45" t="s">
        <v>29</v>
      </c>
      <c r="F45" t="s">
        <v>30</v>
      </c>
      <c r="G45" t="s">
        <v>31</v>
      </c>
      <c r="H45" t="s">
        <v>78</v>
      </c>
      <c r="I45">
        <v>1400</v>
      </c>
      <c r="J45">
        <v>2</v>
      </c>
      <c r="K45">
        <v>2800</v>
      </c>
      <c r="L45">
        <v>2800</v>
      </c>
      <c r="M45" t="s">
        <v>35</v>
      </c>
    </row>
    <row r="46" spans="1:13" x14ac:dyDescent="0.25">
      <c r="A46">
        <v>1041</v>
      </c>
      <c r="B46" t="s">
        <v>62</v>
      </c>
      <c r="C46" t="s">
        <v>60</v>
      </c>
      <c r="D46" t="s">
        <v>61</v>
      </c>
      <c r="E46" t="s">
        <v>20</v>
      </c>
      <c r="F46" t="s">
        <v>21</v>
      </c>
      <c r="G46" t="s">
        <v>15</v>
      </c>
      <c r="H46" t="s">
        <v>77</v>
      </c>
      <c r="I46">
        <v>2800</v>
      </c>
      <c r="J46">
        <v>1</v>
      </c>
      <c r="K46">
        <v>2800</v>
      </c>
      <c r="L46">
        <v>2800</v>
      </c>
      <c r="M46" t="s">
        <v>35</v>
      </c>
    </row>
    <row r="47" spans="1:13" x14ac:dyDescent="0.25">
      <c r="A47">
        <v>1043</v>
      </c>
      <c r="B47" t="s">
        <v>62</v>
      </c>
      <c r="C47" t="s">
        <v>69</v>
      </c>
      <c r="D47" t="s">
        <v>70</v>
      </c>
      <c r="E47" t="s">
        <v>38</v>
      </c>
      <c r="F47" t="s">
        <v>39</v>
      </c>
      <c r="G47" t="s">
        <v>15</v>
      </c>
      <c r="H47" t="s">
        <v>77</v>
      </c>
      <c r="I47">
        <v>2800</v>
      </c>
      <c r="J47">
        <v>1</v>
      </c>
      <c r="K47">
        <v>2800</v>
      </c>
      <c r="L47">
        <v>2800</v>
      </c>
      <c r="M47" t="s">
        <v>35</v>
      </c>
    </row>
    <row r="48" spans="1:13" x14ac:dyDescent="0.25">
      <c r="A48">
        <v>1051</v>
      </c>
      <c r="B48" t="s">
        <v>62</v>
      </c>
      <c r="C48" t="s">
        <v>41</v>
      </c>
      <c r="D48" t="s">
        <v>42</v>
      </c>
      <c r="E48" t="s">
        <v>20</v>
      </c>
      <c r="F48" t="s">
        <v>21</v>
      </c>
      <c r="G48" t="s">
        <v>31</v>
      </c>
      <c r="H48" t="s">
        <v>78</v>
      </c>
      <c r="I48">
        <v>1400</v>
      </c>
      <c r="J48">
        <v>2</v>
      </c>
      <c r="K48">
        <v>2800</v>
      </c>
      <c r="L48">
        <v>2800</v>
      </c>
      <c r="M48" t="s">
        <v>35</v>
      </c>
    </row>
    <row r="49" spans="1:13" x14ac:dyDescent="0.25">
      <c r="A49">
        <v>1076</v>
      </c>
      <c r="B49" t="s">
        <v>71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78</v>
      </c>
      <c r="I49">
        <v>1400</v>
      </c>
      <c r="J49">
        <v>2</v>
      </c>
      <c r="K49">
        <v>2800</v>
      </c>
      <c r="L49">
        <v>2800</v>
      </c>
      <c r="M49" t="s">
        <v>35</v>
      </c>
    </row>
    <row r="50" spans="1:13" x14ac:dyDescent="0.25">
      <c r="A50">
        <v>1080</v>
      </c>
      <c r="B50" t="s">
        <v>71</v>
      </c>
      <c r="C50" t="s">
        <v>49</v>
      </c>
      <c r="D50" t="s">
        <v>50</v>
      </c>
      <c r="E50" t="s">
        <v>29</v>
      </c>
      <c r="F50" t="s">
        <v>30</v>
      </c>
      <c r="G50" t="s">
        <v>15</v>
      </c>
      <c r="H50" t="s">
        <v>77</v>
      </c>
      <c r="I50">
        <v>2800</v>
      </c>
      <c r="J50">
        <v>1</v>
      </c>
      <c r="K50">
        <v>2800</v>
      </c>
      <c r="L50">
        <v>2800</v>
      </c>
      <c r="M50" t="s">
        <v>35</v>
      </c>
    </row>
    <row r="51" spans="1:13" x14ac:dyDescent="0.25">
      <c r="A51">
        <v>1032</v>
      </c>
      <c r="B51" t="s">
        <v>62</v>
      </c>
      <c r="C51" t="s">
        <v>88</v>
      </c>
      <c r="D51" t="s">
        <v>89</v>
      </c>
      <c r="E51" t="s">
        <v>29</v>
      </c>
      <c r="F51" t="s">
        <v>30</v>
      </c>
      <c r="G51" t="s">
        <v>34</v>
      </c>
      <c r="H51" t="s">
        <v>76</v>
      </c>
      <c r="I51">
        <v>1100</v>
      </c>
      <c r="J51">
        <v>2</v>
      </c>
      <c r="K51">
        <v>2200</v>
      </c>
      <c r="L51">
        <v>2200</v>
      </c>
      <c r="M51" t="s">
        <v>35</v>
      </c>
    </row>
    <row r="52" spans="1:13" x14ac:dyDescent="0.25">
      <c r="A52">
        <v>1039</v>
      </c>
      <c r="B52" t="s">
        <v>62</v>
      </c>
      <c r="C52" t="s">
        <v>83</v>
      </c>
      <c r="D52" t="s">
        <v>84</v>
      </c>
      <c r="E52" t="s">
        <v>29</v>
      </c>
      <c r="F52" t="s">
        <v>30</v>
      </c>
      <c r="G52" t="s">
        <v>34</v>
      </c>
      <c r="H52" t="s">
        <v>76</v>
      </c>
      <c r="I52">
        <v>1100</v>
      </c>
      <c r="J52">
        <v>2</v>
      </c>
      <c r="K52">
        <v>2200</v>
      </c>
      <c r="L52">
        <v>2200</v>
      </c>
      <c r="M52" t="s">
        <v>35</v>
      </c>
    </row>
    <row r="53" spans="1:13" x14ac:dyDescent="0.25">
      <c r="A53">
        <v>1070</v>
      </c>
      <c r="B53" t="s">
        <v>71</v>
      </c>
      <c r="C53" t="s">
        <v>94</v>
      </c>
      <c r="D53" t="s">
        <v>95</v>
      </c>
      <c r="E53" t="s">
        <v>13</v>
      </c>
      <c r="F53" t="s">
        <v>14</v>
      </c>
      <c r="G53" t="s">
        <v>34</v>
      </c>
      <c r="H53" t="s">
        <v>76</v>
      </c>
      <c r="I53">
        <v>1100</v>
      </c>
      <c r="J53">
        <v>2</v>
      </c>
      <c r="K53">
        <v>2200</v>
      </c>
      <c r="L53">
        <v>2200</v>
      </c>
      <c r="M53" t="s">
        <v>35</v>
      </c>
    </row>
    <row r="54" spans="1:13" x14ac:dyDescent="0.25">
      <c r="A54">
        <v>1007</v>
      </c>
      <c r="B54" t="s">
        <v>10</v>
      </c>
      <c r="C54" t="s">
        <v>32</v>
      </c>
      <c r="D54" t="s">
        <v>33</v>
      </c>
      <c r="E54" t="s">
        <v>13</v>
      </c>
      <c r="F54" t="s">
        <v>14</v>
      </c>
      <c r="G54" t="s">
        <v>40</v>
      </c>
      <c r="H54" t="s">
        <v>76</v>
      </c>
      <c r="I54">
        <v>1900</v>
      </c>
      <c r="J54">
        <v>1</v>
      </c>
      <c r="K54">
        <v>1900</v>
      </c>
      <c r="L54">
        <v>1900</v>
      </c>
      <c r="M54" t="s">
        <v>35</v>
      </c>
    </row>
    <row r="55" spans="1:13" x14ac:dyDescent="0.25">
      <c r="A55">
        <v>1009</v>
      </c>
      <c r="B55" t="s">
        <v>10</v>
      </c>
      <c r="C55" t="s">
        <v>83</v>
      </c>
      <c r="D55" t="s">
        <v>84</v>
      </c>
      <c r="E55" t="s">
        <v>29</v>
      </c>
      <c r="F55" t="s">
        <v>30</v>
      </c>
      <c r="G55" t="s">
        <v>40</v>
      </c>
      <c r="H55" t="s">
        <v>76</v>
      </c>
      <c r="I55">
        <v>1900</v>
      </c>
      <c r="J55">
        <v>1</v>
      </c>
      <c r="K55">
        <v>1900</v>
      </c>
      <c r="L55">
        <v>1900</v>
      </c>
      <c r="M55" t="s">
        <v>35</v>
      </c>
    </row>
    <row r="56" spans="1:13" x14ac:dyDescent="0.25">
      <c r="A56">
        <v>1046</v>
      </c>
      <c r="B56" t="s">
        <v>62</v>
      </c>
      <c r="C56" t="s">
        <v>85</v>
      </c>
      <c r="D56" t="s">
        <v>86</v>
      </c>
      <c r="E56" t="s">
        <v>38</v>
      </c>
      <c r="F56" t="s">
        <v>39</v>
      </c>
      <c r="G56" t="s">
        <v>40</v>
      </c>
      <c r="H56" t="s">
        <v>76</v>
      </c>
      <c r="I56">
        <v>1900</v>
      </c>
      <c r="J56">
        <v>1</v>
      </c>
      <c r="K56">
        <v>1900</v>
      </c>
      <c r="L56">
        <v>1900</v>
      </c>
      <c r="M56" t="s">
        <v>35</v>
      </c>
    </row>
    <row r="57" spans="1:13" x14ac:dyDescent="0.25">
      <c r="A57">
        <v>1072</v>
      </c>
      <c r="B57" t="s">
        <v>71</v>
      </c>
      <c r="C57" t="s">
        <v>90</v>
      </c>
      <c r="D57" t="s">
        <v>47</v>
      </c>
      <c r="E57" t="s">
        <v>20</v>
      </c>
      <c r="F57" t="s">
        <v>21</v>
      </c>
      <c r="G57" t="s">
        <v>40</v>
      </c>
      <c r="H57" t="s">
        <v>76</v>
      </c>
      <c r="I57">
        <v>1900</v>
      </c>
      <c r="J57">
        <v>1</v>
      </c>
      <c r="K57">
        <v>1900</v>
      </c>
      <c r="L57">
        <v>1900</v>
      </c>
      <c r="M57" t="s">
        <v>35</v>
      </c>
    </row>
    <row r="58" spans="1:13" x14ac:dyDescent="0.25">
      <c r="A58">
        <v>1024</v>
      </c>
      <c r="B58" t="s">
        <v>10</v>
      </c>
      <c r="C58" t="s">
        <v>58</v>
      </c>
      <c r="D58" t="s">
        <v>91</v>
      </c>
      <c r="E58" t="s">
        <v>13</v>
      </c>
      <c r="F58" t="s">
        <v>14</v>
      </c>
      <c r="G58" t="s">
        <v>31</v>
      </c>
      <c r="H58" t="s">
        <v>78</v>
      </c>
      <c r="I58">
        <v>1400</v>
      </c>
      <c r="J58">
        <v>1</v>
      </c>
      <c r="K58">
        <v>1400</v>
      </c>
      <c r="L58">
        <v>1400</v>
      </c>
      <c r="M58" t="s">
        <v>35</v>
      </c>
    </row>
    <row r="59" spans="1:13" x14ac:dyDescent="0.25">
      <c r="A59">
        <v>1026</v>
      </c>
      <c r="B59" t="s">
        <v>10</v>
      </c>
      <c r="C59" t="s">
        <v>85</v>
      </c>
      <c r="D59" t="s">
        <v>86</v>
      </c>
      <c r="E59" t="s">
        <v>38</v>
      </c>
      <c r="F59" t="s">
        <v>39</v>
      </c>
      <c r="G59" t="s">
        <v>31</v>
      </c>
      <c r="H59" t="s">
        <v>78</v>
      </c>
      <c r="I59">
        <v>1400</v>
      </c>
      <c r="J59">
        <v>1</v>
      </c>
      <c r="K59">
        <v>1400</v>
      </c>
      <c r="L59">
        <v>1400</v>
      </c>
      <c r="M59" t="s">
        <v>35</v>
      </c>
    </row>
    <row r="60" spans="1:13" x14ac:dyDescent="0.25">
      <c r="A60">
        <v>1079</v>
      </c>
      <c r="B60" t="s">
        <v>71</v>
      </c>
      <c r="C60" t="s">
        <v>41</v>
      </c>
      <c r="D60" t="s">
        <v>42</v>
      </c>
      <c r="E60" t="s">
        <v>20</v>
      </c>
      <c r="F60" t="s">
        <v>21</v>
      </c>
      <c r="G60" t="s">
        <v>31</v>
      </c>
      <c r="H60" t="s">
        <v>78</v>
      </c>
      <c r="I60">
        <v>1400</v>
      </c>
      <c r="J60">
        <v>1</v>
      </c>
      <c r="K60">
        <v>1400</v>
      </c>
      <c r="L60">
        <v>1400</v>
      </c>
      <c r="M60" t="s">
        <v>35</v>
      </c>
    </row>
    <row r="61" spans="1:13" x14ac:dyDescent="0.25">
      <c r="A61">
        <v>1005</v>
      </c>
      <c r="B61" t="s">
        <v>10</v>
      </c>
      <c r="C61" t="s">
        <v>32</v>
      </c>
      <c r="D61" t="s">
        <v>33</v>
      </c>
      <c r="E61" t="s">
        <v>13</v>
      </c>
      <c r="F61" t="s">
        <v>14</v>
      </c>
      <c r="G61" t="s">
        <v>34</v>
      </c>
      <c r="H61" t="s">
        <v>76</v>
      </c>
      <c r="I61">
        <v>1100</v>
      </c>
      <c r="J61">
        <v>1</v>
      </c>
      <c r="K61">
        <v>1100</v>
      </c>
      <c r="L61">
        <v>1100</v>
      </c>
      <c r="M61" t="s">
        <v>35</v>
      </c>
    </row>
    <row r="62" spans="1:13" x14ac:dyDescent="0.25">
      <c r="A62">
        <v>1025</v>
      </c>
      <c r="B62" t="s">
        <v>10</v>
      </c>
      <c r="C62" t="s">
        <v>60</v>
      </c>
      <c r="D62" t="s">
        <v>61</v>
      </c>
      <c r="E62" t="s">
        <v>20</v>
      </c>
      <c r="F62" t="s">
        <v>21</v>
      </c>
      <c r="G62" t="s">
        <v>34</v>
      </c>
      <c r="H62" t="s">
        <v>76</v>
      </c>
      <c r="I62">
        <v>1100</v>
      </c>
      <c r="J62">
        <v>1</v>
      </c>
      <c r="K62">
        <v>1100</v>
      </c>
      <c r="L62">
        <v>1100</v>
      </c>
      <c r="M62" t="s">
        <v>35</v>
      </c>
    </row>
    <row r="63" spans="1:13" x14ac:dyDescent="0.25">
      <c r="A63">
        <v>1048</v>
      </c>
      <c r="B63" t="s">
        <v>62</v>
      </c>
      <c r="C63" t="s">
        <v>58</v>
      </c>
      <c r="D63" t="s">
        <v>91</v>
      </c>
      <c r="E63" t="s">
        <v>13</v>
      </c>
      <c r="F63" t="s">
        <v>14</v>
      </c>
      <c r="G63" t="s">
        <v>34</v>
      </c>
      <c r="H63" t="s">
        <v>76</v>
      </c>
      <c r="I63">
        <v>1100</v>
      </c>
      <c r="J63">
        <v>1</v>
      </c>
      <c r="K63">
        <v>1100</v>
      </c>
      <c r="L63">
        <v>1100</v>
      </c>
      <c r="M63" t="s">
        <v>35</v>
      </c>
    </row>
    <row r="64" spans="1:13" x14ac:dyDescent="0.25">
      <c r="A64">
        <v>1089</v>
      </c>
      <c r="B64" t="s">
        <v>71</v>
      </c>
      <c r="C64" t="s">
        <v>94</v>
      </c>
      <c r="D64" t="s">
        <v>95</v>
      </c>
      <c r="E64" t="s">
        <v>13</v>
      </c>
      <c r="F64" t="s">
        <v>14</v>
      </c>
      <c r="G64" t="s">
        <v>34</v>
      </c>
      <c r="H64" t="s">
        <v>76</v>
      </c>
      <c r="I64">
        <v>1100</v>
      </c>
      <c r="J64">
        <v>1</v>
      </c>
      <c r="K64">
        <v>1100</v>
      </c>
      <c r="L64">
        <v>1100</v>
      </c>
      <c r="M64" t="s">
        <v>35</v>
      </c>
    </row>
  </sheetData>
  <autoFilter ref="A1:M64" xr:uid="{6B4A8A5E-E73C-4196-8687-DD83A8AE51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65CF-421F-4BE8-97AA-CA87A99EC954}">
  <dimension ref="A3:F15"/>
  <sheetViews>
    <sheetView tabSelected="1" workbookViewId="0">
      <selection activeCell="G16" sqref="G16"/>
    </sheetView>
  </sheetViews>
  <sheetFormatPr defaultRowHeight="15" x14ac:dyDescent="0.25"/>
  <cols>
    <col min="1" max="1" width="13.42578125" bestFit="1" customWidth="1"/>
    <col min="2" max="2" width="14.7109375" bestFit="1" customWidth="1"/>
    <col min="3" max="3" width="16.85546875" bestFit="1" customWidth="1"/>
    <col min="4" max="4" width="6.28515625" bestFit="1" customWidth="1"/>
    <col min="5" max="5" width="6" bestFit="1" customWidth="1"/>
    <col min="6" max="6" width="11.28515625" bestFit="1" customWidth="1"/>
  </cols>
  <sheetData>
    <row r="3" spans="1:6" x14ac:dyDescent="0.25">
      <c r="A3" s="3" t="s">
        <v>104</v>
      </c>
      <c r="B3" s="3" t="s">
        <v>103</v>
      </c>
    </row>
    <row r="4" spans="1:6" x14ac:dyDescent="0.25">
      <c r="A4" s="3" t="s">
        <v>101</v>
      </c>
      <c r="B4" t="s">
        <v>29</v>
      </c>
      <c r="C4" t="s">
        <v>38</v>
      </c>
      <c r="D4" t="s">
        <v>13</v>
      </c>
      <c r="E4" t="s">
        <v>20</v>
      </c>
      <c r="F4" t="s">
        <v>102</v>
      </c>
    </row>
    <row r="5" spans="1:6" x14ac:dyDescent="0.25">
      <c r="A5" s="4" t="s">
        <v>78</v>
      </c>
      <c r="B5" s="5">
        <v>10600</v>
      </c>
      <c r="C5" s="5">
        <v>19400</v>
      </c>
      <c r="D5" s="5">
        <v>10000</v>
      </c>
      <c r="E5" s="5">
        <v>37500</v>
      </c>
      <c r="F5" s="5">
        <v>77500</v>
      </c>
    </row>
    <row r="6" spans="1:6" x14ac:dyDescent="0.25">
      <c r="A6" s="4" t="s">
        <v>77</v>
      </c>
      <c r="B6" s="5">
        <v>21400</v>
      </c>
      <c r="C6" s="5">
        <v>73400</v>
      </c>
      <c r="D6" s="5">
        <v>28700</v>
      </c>
      <c r="E6" s="5">
        <v>18800</v>
      </c>
      <c r="F6" s="5">
        <v>142300</v>
      </c>
    </row>
    <row r="7" spans="1:6" x14ac:dyDescent="0.25">
      <c r="A7" s="4" t="s">
        <v>76</v>
      </c>
      <c r="B7" s="5">
        <v>37500</v>
      </c>
      <c r="C7" s="5">
        <v>26500</v>
      </c>
      <c r="D7" s="5">
        <v>43800</v>
      </c>
      <c r="E7" s="5">
        <v>18600</v>
      </c>
      <c r="F7" s="5">
        <v>126400</v>
      </c>
    </row>
    <row r="8" spans="1:6" x14ac:dyDescent="0.25">
      <c r="A8" s="4" t="s">
        <v>102</v>
      </c>
      <c r="B8" s="5">
        <v>69500</v>
      </c>
      <c r="C8" s="5">
        <v>119300</v>
      </c>
      <c r="D8" s="5">
        <v>82500</v>
      </c>
      <c r="E8" s="5">
        <v>74900</v>
      </c>
      <c r="F8" s="5">
        <v>346200</v>
      </c>
    </row>
    <row r="11" spans="1:6" x14ac:dyDescent="0.25">
      <c r="A11" s="3" t="s">
        <v>101</v>
      </c>
      <c r="B11" t="s">
        <v>104</v>
      </c>
      <c r="C11" t="s">
        <v>105</v>
      </c>
    </row>
    <row r="12" spans="1:6" x14ac:dyDescent="0.25">
      <c r="A12" s="4" t="s">
        <v>10</v>
      </c>
      <c r="B12" s="5">
        <v>98300</v>
      </c>
      <c r="C12" s="5">
        <v>19</v>
      </c>
    </row>
    <row r="13" spans="1:6" x14ac:dyDescent="0.25">
      <c r="A13" s="4" t="s">
        <v>62</v>
      </c>
      <c r="B13" s="5">
        <v>93100</v>
      </c>
      <c r="C13" s="5">
        <v>20</v>
      </c>
    </row>
    <row r="14" spans="1:6" x14ac:dyDescent="0.25">
      <c r="A14" s="4" t="s">
        <v>71</v>
      </c>
      <c r="B14" s="5">
        <v>154800</v>
      </c>
      <c r="C14" s="5">
        <v>24</v>
      </c>
    </row>
    <row r="15" spans="1:6" x14ac:dyDescent="0.25">
      <c r="A15" s="4" t="s">
        <v>102</v>
      </c>
      <c r="B15" s="5">
        <v>346200</v>
      </c>
      <c r="C15" s="5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products</vt:lpstr>
      <vt:lpstr>completed_orders</vt:lpstr>
      <vt:lpstr>two_pivot_table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S</dc:creator>
  <cp:lastModifiedBy>Arvinthan Sundarapandian</cp:lastModifiedBy>
  <dcterms:created xsi:type="dcterms:W3CDTF">2026-10-22T18:53:41Z</dcterms:created>
  <dcterms:modified xsi:type="dcterms:W3CDTF">2026-10-22T18:54:49Z</dcterms:modified>
</cp:coreProperties>
</file>